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drawings/drawing6.xml" ContentType="application/vnd.openxmlformats-officedocument.drawing+xml"/>
  <Override PartName="/xl/worksheets/sheet3.xml" ContentType="application/vnd.openxmlformats-officedocument.spreadsheetml.worksheet+xml"/>
  <Override PartName="/xl/ctrlProps/ctrlProp11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ctrlProps/ctrlProp9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trlProps/ctrlProp1.xml" ContentType="application/vnd.ms-excel.controlproperties+xml"/>
  <Override PartName="/xl/ctrlProps/ctrlProp12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cosbriceno/Desktop/"/>
    </mc:Choice>
  </mc:AlternateContent>
  <xr:revisionPtr revIDLastSave="0" documentId="13_ncr:1_{D4A5639D-A5E0-6B44-9E26-FF6A5F4A2D46}" xr6:coauthVersionLast="45" xr6:coauthVersionMax="45" xr10:uidLastSave="{00000000-0000-0000-0000-000000000000}"/>
  <bookViews>
    <workbookView xWindow="0" yWindow="460" windowWidth="28780" windowHeight="16480" xr2:uid="{44F7E066-5599-9A4D-985F-34AE2DE76E5A}"/>
  </bookViews>
  <sheets>
    <sheet name="05 - BRIEF" sheetId="8" r:id="rId1"/>
    <sheet name="04 - SERVICES QUOTE" sheetId="6" state="hidden" r:id="rId2"/>
    <sheet name="03 - SERVICES BASE" sheetId="4" state="hidden" r:id="rId3"/>
    <sheet name="02 - EVALUATION" sheetId="1" state="hidden" r:id="rId4"/>
    <sheet name="01 - INPUT" sheetId="3" r:id="rId5"/>
    <sheet name="00 - FORM DATA" sheetId="2" state="hidden" r:id="rId6"/>
  </sheets>
  <calcPr calcId="191029" iterateCount="200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4" i="1" l="1"/>
  <c r="G28" i="4"/>
  <c r="G29" i="4"/>
  <c r="G30" i="4"/>
  <c r="G36" i="4"/>
  <c r="G37" i="4"/>
  <c r="G38" i="4"/>
  <c r="G39" i="4"/>
  <c r="G27" i="4"/>
  <c r="G16" i="4"/>
  <c r="G17" i="4"/>
  <c r="G22" i="4" s="1"/>
  <c r="G18" i="4"/>
  <c r="G19" i="4"/>
  <c r="G20" i="4"/>
  <c r="G21" i="4"/>
  <c r="G15" i="4"/>
  <c r="C13" i="8" l="1"/>
  <c r="C11" i="8"/>
  <c r="F24" i="8" l="1"/>
  <c r="E24" i="8"/>
  <c r="C24" i="8"/>
  <c r="B24" i="8"/>
  <c r="F19" i="8"/>
  <c r="F18" i="8"/>
  <c r="E19" i="8"/>
  <c r="E18" i="8"/>
  <c r="B21" i="8"/>
  <c r="B19" i="8"/>
  <c r="B20" i="8"/>
  <c r="B18" i="8"/>
  <c r="C15" i="8"/>
  <c r="C14" i="8"/>
  <c r="B15" i="8"/>
  <c r="B14" i="8"/>
  <c r="F12" i="8"/>
  <c r="F13" i="8"/>
  <c r="F14" i="8"/>
  <c r="F15" i="8"/>
  <c r="F11" i="8"/>
  <c r="E12" i="8"/>
  <c r="E13" i="8"/>
  <c r="E14" i="8"/>
  <c r="E15" i="8"/>
  <c r="E11" i="8"/>
  <c r="B11" i="8"/>
  <c r="F20" i="8" l="1"/>
  <c r="D19" i="1"/>
  <c r="D115" i="1"/>
  <c r="D114" i="1"/>
  <c r="D113" i="1"/>
  <c r="D112" i="1"/>
  <c r="D111" i="1"/>
  <c r="D110" i="1"/>
  <c r="D109" i="1"/>
  <c r="D104" i="1"/>
  <c r="D103" i="1"/>
  <c r="D102" i="1"/>
  <c r="D101" i="1"/>
  <c r="D100" i="1"/>
  <c r="D99" i="1"/>
  <c r="F31" i="4"/>
  <c r="C47" i="4"/>
  <c r="C46" i="4"/>
  <c r="D116" i="1" l="1"/>
  <c r="D65" i="1"/>
  <c r="D66" i="1"/>
  <c r="D67" i="1"/>
  <c r="D68" i="1"/>
  <c r="D69" i="1"/>
  <c r="D64" i="1"/>
  <c r="F35" i="4"/>
  <c r="D35" i="4" s="1"/>
  <c r="F34" i="4"/>
  <c r="D34" i="4" s="1"/>
  <c r="F33" i="4"/>
  <c r="F32" i="4"/>
  <c r="D32" i="4" s="1"/>
  <c r="C29" i="6"/>
  <c r="C30" i="6"/>
  <c r="C31" i="6"/>
  <c r="C32" i="6"/>
  <c r="C33" i="6"/>
  <c r="C34" i="6"/>
  <c r="C35" i="6"/>
  <c r="C36" i="6"/>
  <c r="C37" i="6"/>
  <c r="C38" i="6"/>
  <c r="C39" i="6"/>
  <c r="C40" i="6"/>
  <c r="B115" i="1"/>
  <c r="E29" i="4"/>
  <c r="E30" i="4"/>
  <c r="E31" i="4"/>
  <c r="D28" i="4"/>
  <c r="D29" i="4"/>
  <c r="D30" i="4"/>
  <c r="D31" i="4"/>
  <c r="D36" i="4"/>
  <c r="E36" i="4"/>
  <c r="D37" i="4"/>
  <c r="E37" i="4"/>
  <c r="D38" i="4"/>
  <c r="E38" i="4"/>
  <c r="D39" i="4"/>
  <c r="E39" i="4"/>
  <c r="D27" i="4"/>
  <c r="F16" i="4"/>
  <c r="F17" i="4"/>
  <c r="F18" i="4"/>
  <c r="F19" i="4"/>
  <c r="F20" i="4"/>
  <c r="F21" i="4"/>
  <c r="F15" i="4"/>
  <c r="D17" i="4"/>
  <c r="D18" i="4"/>
  <c r="D19" i="4"/>
  <c r="D20" i="4"/>
  <c r="D21" i="4"/>
  <c r="D15" i="4"/>
  <c r="D16" i="4"/>
  <c r="G31" i="4" l="1"/>
  <c r="H19" i="4"/>
  <c r="E34" i="4"/>
  <c r="E32" i="4"/>
  <c r="G32" i="4" s="1"/>
  <c r="E35" i="4"/>
  <c r="F40" i="4"/>
  <c r="E33" i="4"/>
  <c r="D33" i="4"/>
  <c r="H11" i="4"/>
  <c r="C28" i="6"/>
  <c r="D18" i="1"/>
  <c r="D17" i="1"/>
  <c r="D26" i="1"/>
  <c r="D24" i="1"/>
  <c r="C17" i="6"/>
  <c r="C18" i="6"/>
  <c r="C19" i="6"/>
  <c r="C20" i="6"/>
  <c r="C21" i="6"/>
  <c r="C22" i="6"/>
  <c r="C23" i="6"/>
  <c r="C24" i="6"/>
  <c r="C16" i="6"/>
  <c r="G35" i="4" l="1"/>
  <c r="H35" i="4" s="1"/>
  <c r="D40" i="4"/>
  <c r="G33" i="4"/>
  <c r="H33" i="4" s="1"/>
  <c r="G34" i="4"/>
  <c r="H34" i="4" s="1"/>
  <c r="E40" i="4"/>
  <c r="D45" i="1"/>
  <c r="D46" i="1"/>
  <c r="B45" i="1"/>
  <c r="C48" i="6" l="1"/>
  <c r="D41" i="4"/>
  <c r="H39" i="4"/>
  <c r="H38" i="4"/>
  <c r="H37" i="4"/>
  <c r="H31" i="4"/>
  <c r="H30" i="4"/>
  <c r="H29" i="4"/>
  <c r="H28" i="4"/>
  <c r="D74" i="1"/>
  <c r="D87" i="1"/>
  <c r="D86" i="1"/>
  <c r="D82" i="1"/>
  <c r="D52" i="1"/>
  <c r="D53" i="1"/>
  <c r="D54" i="1"/>
  <c r="D55" i="1"/>
  <c r="D56" i="1"/>
  <c r="D57" i="1"/>
  <c r="D58" i="1"/>
  <c r="D59" i="1"/>
  <c r="D51" i="1"/>
  <c r="D44" i="1"/>
  <c r="D43" i="1"/>
  <c r="D42" i="1"/>
  <c r="D41" i="1"/>
  <c r="D40" i="1"/>
  <c r="D39" i="1"/>
  <c r="D38" i="1"/>
  <c r="D33" i="1"/>
  <c r="D32" i="1"/>
  <c r="D94" i="1"/>
  <c r="D93" i="1"/>
  <c r="D92" i="1"/>
  <c r="D77" i="1"/>
  <c r="D76" i="1"/>
  <c r="D75" i="1"/>
  <c r="D31" i="1"/>
  <c r="B65" i="1"/>
  <c r="B66" i="1"/>
  <c r="B67" i="1"/>
  <c r="B68" i="1"/>
  <c r="B69" i="1"/>
  <c r="B64" i="1"/>
  <c r="B52" i="1"/>
  <c r="B53" i="1"/>
  <c r="B54" i="1"/>
  <c r="B55" i="1"/>
  <c r="B56" i="1"/>
  <c r="B57" i="1"/>
  <c r="B58" i="1"/>
  <c r="B59" i="1"/>
  <c r="B51" i="1"/>
  <c r="B39" i="1"/>
  <c r="B40" i="1"/>
  <c r="B41" i="1"/>
  <c r="B42" i="1"/>
  <c r="B43" i="1"/>
  <c r="B44" i="1"/>
  <c r="B46" i="1"/>
  <c r="B38" i="1"/>
  <c r="B32" i="1"/>
  <c r="B33" i="1"/>
  <c r="B31" i="1"/>
  <c r="B110" i="1"/>
  <c r="B111" i="1"/>
  <c r="B112" i="1"/>
  <c r="B113" i="1"/>
  <c r="B114" i="1"/>
  <c r="B109" i="1"/>
  <c r="B25" i="1"/>
  <c r="B26" i="1"/>
  <c r="B24" i="1"/>
  <c r="B100" i="1"/>
  <c r="B101" i="1"/>
  <c r="B102" i="1"/>
  <c r="B103" i="1"/>
  <c r="B104" i="1"/>
  <c r="B99" i="1"/>
  <c r="B93" i="1"/>
  <c r="B94" i="1"/>
  <c r="B92" i="1"/>
  <c r="B76" i="1"/>
  <c r="B77" i="1"/>
  <c r="B75" i="1"/>
  <c r="B83" i="1"/>
  <c r="B84" i="1"/>
  <c r="B85" i="1"/>
  <c r="B86" i="1"/>
  <c r="B87" i="1"/>
  <c r="B82" i="1"/>
  <c r="D85" i="1"/>
  <c r="D84" i="1"/>
  <c r="C49" i="6" l="1"/>
  <c r="D47" i="1"/>
  <c r="D95" i="1"/>
  <c r="D78" i="1"/>
  <c r="D70" i="1"/>
  <c r="D60" i="1"/>
  <c r="D34" i="1"/>
  <c r="D83" i="1"/>
  <c r="D88" i="1" s="1"/>
  <c r="D10" i="1" l="1"/>
  <c r="D105" i="1"/>
  <c r="D11" i="1" s="1"/>
  <c r="D25" i="1"/>
  <c r="F22" i="4"/>
  <c r="E22" i="4"/>
  <c r="D22" i="4"/>
  <c r="H21" i="4"/>
  <c r="H18" i="4"/>
  <c r="H20" i="4"/>
  <c r="H17" i="4"/>
  <c r="H16" i="4"/>
  <c r="H15" i="4"/>
  <c r="F23" i="4" l="1"/>
  <c r="D23" i="4"/>
  <c r="E23" i="4"/>
  <c r="H36" i="4"/>
  <c r="F41" i="4"/>
  <c r="D27" i="1"/>
  <c r="D9" i="1" s="1"/>
  <c r="D20" i="1"/>
  <c r="D8" i="1" s="1"/>
  <c r="H22" i="4"/>
  <c r="G23" i="4" l="1"/>
  <c r="H23" i="4" s="1"/>
  <c r="D118" i="1"/>
  <c r="D12" i="1" s="1"/>
  <c r="H32" i="4"/>
  <c r="H8" i="4" l="1"/>
  <c r="C12" i="8" s="1"/>
  <c r="D20" i="6" l="1"/>
  <c r="G21" i="6"/>
  <c r="F19" i="6"/>
  <c r="E23" i="6"/>
  <c r="E24" i="6" s="1"/>
  <c r="G33" i="6"/>
  <c r="G35" i="6"/>
  <c r="D35" i="6"/>
  <c r="E37" i="6"/>
  <c r="D29" i="6"/>
  <c r="D38" i="6"/>
  <c r="E17" i="6"/>
  <c r="D16" i="6"/>
  <c r="G19" i="6"/>
  <c r="G23" i="6"/>
  <c r="G24" i="6" s="1"/>
  <c r="G31" i="6"/>
  <c r="F38" i="6"/>
  <c r="E32" i="6"/>
  <c r="D37" i="6"/>
  <c r="E29" i="6"/>
  <c r="F28" i="6"/>
  <c r="F32" i="6"/>
  <c r="G34" i="6"/>
  <c r="D36" i="6"/>
  <c r="D32" i="6"/>
  <c r="E19" i="6"/>
  <c r="G32" i="6"/>
  <c r="E36" i="6"/>
  <c r="E34" i="6"/>
  <c r="F21" i="6"/>
  <c r="F35" i="6"/>
  <c r="G38" i="6"/>
  <c r="D28" i="6"/>
  <c r="F23" i="6"/>
  <c r="F24" i="6" s="1"/>
  <c r="F30" i="6"/>
  <c r="F29" i="6"/>
  <c r="G17" i="6"/>
  <c r="D40" i="6"/>
  <c r="E28" i="6"/>
  <c r="F34" i="6"/>
  <c r="F17" i="6"/>
  <c r="G29" i="6"/>
  <c r="F36" i="6"/>
  <c r="F22" i="6"/>
  <c r="E40" i="6"/>
  <c r="G36" i="6"/>
  <c r="D17" i="6"/>
  <c r="E35" i="6"/>
  <c r="F39" i="6"/>
  <c r="G20" i="6"/>
  <c r="D30" i="6"/>
  <c r="E16" i="6"/>
  <c r="E21" i="6"/>
  <c r="E18" i="6"/>
  <c r="F18" i="6"/>
  <c r="D33" i="6"/>
  <c r="D31" i="6"/>
  <c r="G30" i="6"/>
  <c r="E20" i="6"/>
  <c r="D21" i="6"/>
  <c r="E22" i="6"/>
  <c r="D19" i="6"/>
  <c r="E30" i="6"/>
  <c r="F37" i="6"/>
  <c r="F33" i="6"/>
  <c r="F31" i="6"/>
  <c r="G22" i="6"/>
  <c r="D18" i="6"/>
  <c r="D39" i="6"/>
  <c r="G37" i="6"/>
  <c r="G18" i="6"/>
  <c r="D34" i="6"/>
  <c r="G39" i="6"/>
  <c r="D22" i="6"/>
  <c r="E38" i="6"/>
  <c r="E31" i="6"/>
  <c r="G16" i="6"/>
  <c r="E33" i="6"/>
  <c r="F40" i="6"/>
  <c r="G40" i="6"/>
  <c r="F16" i="6"/>
  <c r="F20" i="6"/>
  <c r="D23" i="6"/>
  <c r="D24" i="6" s="1"/>
  <c r="E39" i="6"/>
  <c r="H34" i="6" l="1"/>
  <c r="H20" i="6"/>
  <c r="H22" i="6"/>
  <c r="H30" i="6"/>
  <c r="H31" i="6"/>
  <c r="H39" i="6"/>
  <c r="H32" i="6"/>
  <c r="H38" i="6"/>
  <c r="H19" i="6"/>
  <c r="H29" i="6"/>
  <c r="H36" i="6"/>
  <c r="H21" i="6"/>
  <c r="H35" i="6"/>
  <c r="H37" i="6"/>
  <c r="H16" i="6"/>
  <c r="D41" i="6"/>
  <c r="D42" i="6" s="1"/>
  <c r="F41" i="6"/>
  <c r="F42" i="6" s="1"/>
  <c r="H40" i="6"/>
  <c r="E41" i="6"/>
  <c r="H17" i="6"/>
  <c r="H18" i="6"/>
  <c r="H33" i="6"/>
  <c r="H24" i="6"/>
  <c r="C9" i="6" s="1"/>
  <c r="C18" i="8" s="1"/>
  <c r="E41" i="4"/>
  <c r="G28" i="6"/>
  <c r="G41" i="6" s="1"/>
  <c r="G42" i="6" s="1"/>
  <c r="H23" i="6" l="1"/>
  <c r="H27" i="4"/>
  <c r="H40" i="4" s="1"/>
  <c r="G40" i="4"/>
  <c r="G41" i="4" s="1"/>
  <c r="H41" i="4" s="1"/>
  <c r="E42" i="6"/>
  <c r="H42" i="6" s="1"/>
  <c r="C10" i="6" s="1"/>
  <c r="C19" i="8" s="1"/>
  <c r="H28" i="6"/>
  <c r="H41" i="6" s="1"/>
  <c r="H44" i="4" l="1"/>
  <c r="H45" i="4" s="1"/>
  <c r="C45" i="4"/>
  <c r="H46" i="4" l="1"/>
  <c r="C48" i="4"/>
  <c r="C47" i="6"/>
  <c r="C11" i="6" l="1"/>
  <c r="C20" i="8" s="1"/>
  <c r="F21" i="8" s="1"/>
  <c r="C50" i="6"/>
  <c r="C12" i="6" l="1"/>
  <c r="C21" i="8" s="1"/>
</calcChain>
</file>

<file path=xl/sharedStrings.xml><?xml version="1.0" encoding="utf-8"?>
<sst xmlns="http://schemas.openxmlformats.org/spreadsheetml/2006/main" count="431" uniqueCount="259">
  <si>
    <t>VERTICAL</t>
  </si>
  <si>
    <t>Enterprise</t>
  </si>
  <si>
    <t>Government</t>
  </si>
  <si>
    <t>PROJECT</t>
  </si>
  <si>
    <t>SDWAN - Nuage VNS</t>
  </si>
  <si>
    <t>SDN - Nuage VSC</t>
  </si>
  <si>
    <t>TELCO CLOUD  - Nuage VSC + CBIS / CBAND</t>
  </si>
  <si>
    <t>SDWAN + SDN</t>
  </si>
  <si>
    <t>TELCO CLOUD + SDWAN</t>
  </si>
  <si>
    <t>CUSTOMER ENGINEERING LATIN AMERICA</t>
  </si>
  <si>
    <t>PROFESSIONAL SERVICES QUOTING TOOL</t>
  </si>
  <si>
    <t>VERSION</t>
  </si>
  <si>
    <t>Telco and/or Service Provider</t>
  </si>
  <si>
    <t>REGION</t>
  </si>
  <si>
    <t>TIER 1 - Mexico &amp; Brazil</t>
  </si>
  <si>
    <t>TIER 2 - Southern Cone</t>
  </si>
  <si>
    <t>TIER 3 - Andinos</t>
  </si>
  <si>
    <t>TIER 4 - Central America &amp; The Caribean</t>
  </si>
  <si>
    <t>REGIONAL INFORMATION</t>
  </si>
  <si>
    <t>TIER 5 - Other (US, Europe, Emea)</t>
  </si>
  <si>
    <t>ACCOUNT MANAGER</t>
  </si>
  <si>
    <t>PRESALES ENGINEER</t>
  </si>
  <si>
    <t>BDM ENGINEER</t>
  </si>
  <si>
    <t>ACCOUNT NAME</t>
  </si>
  <si>
    <t>RISK ORDER</t>
  </si>
  <si>
    <t>NOKIA CONTACTS</t>
  </si>
  <si>
    <t>PROJECT MANAGER</t>
  </si>
  <si>
    <t>NAME</t>
  </si>
  <si>
    <t>PHONE</t>
  </si>
  <si>
    <t>EMAIL</t>
  </si>
  <si>
    <t>POSITION</t>
  </si>
  <si>
    <t>COMMENTS</t>
  </si>
  <si>
    <t>BUSINESS INFORMATION</t>
  </si>
  <si>
    <t>COMMERCIAL STATUS</t>
  </si>
  <si>
    <t>Rest of Pipe</t>
  </si>
  <si>
    <t>Commit / Secure</t>
  </si>
  <si>
    <t>Upside / Risk</t>
  </si>
  <si>
    <t>SALES FORCE OPP.</t>
  </si>
  <si>
    <t>QUALIFICATION</t>
  </si>
  <si>
    <t>CLUSTER</t>
  </si>
  <si>
    <t>BDM</t>
  </si>
  <si>
    <t>Mauricio Rojas</t>
  </si>
  <si>
    <t>Miguel Manzur</t>
  </si>
  <si>
    <t>Pablo Verisimo</t>
  </si>
  <si>
    <t>WBS</t>
  </si>
  <si>
    <t>YES/NO</t>
  </si>
  <si>
    <t>Yes</t>
  </si>
  <si>
    <t>No</t>
  </si>
  <si>
    <t>REVENUE</t>
  </si>
  <si>
    <t>0K - 100K</t>
  </si>
  <si>
    <t>100K - 250K</t>
  </si>
  <si>
    <t>250K - 500K</t>
  </si>
  <si>
    <t>1M - 2M</t>
  </si>
  <si>
    <t>2M - 5M</t>
  </si>
  <si>
    <t>5M - 10M</t>
  </si>
  <si>
    <t>10M &gt;</t>
  </si>
  <si>
    <t>NUAGE VERSIONS</t>
  </si>
  <si>
    <t>MIGRATION</t>
  </si>
  <si>
    <t>CURRENT VERSION</t>
  </si>
  <si>
    <t>None</t>
  </si>
  <si>
    <t>VERSION TO INSTALL</t>
  </si>
  <si>
    <t>ITEM</t>
  </si>
  <si>
    <t>COMPLEXITY</t>
  </si>
  <si>
    <t>Latest stable</t>
  </si>
  <si>
    <t>Latest beta - Special features required</t>
  </si>
  <si>
    <t>3.X.X</t>
  </si>
  <si>
    <t>4.X.X</t>
  </si>
  <si>
    <t>5.X.X</t>
  </si>
  <si>
    <t>6.X.X</t>
  </si>
  <si>
    <t>ROLE</t>
  </si>
  <si>
    <t>TOTAL</t>
  </si>
  <si>
    <t>TPM - Technical Project Manager</t>
  </si>
  <si>
    <t>VRS-K (KVM) QTY</t>
  </si>
  <si>
    <t>VRS-H (HYPER-V) QTY</t>
  </si>
  <si>
    <t>VRS-V (VMWARE) QTY</t>
  </si>
  <si>
    <t>DATACENTERS</t>
  </si>
  <si>
    <t>HA MODEL</t>
  </si>
  <si>
    <t>QTY</t>
  </si>
  <si>
    <t>HA</t>
  </si>
  <si>
    <t>Disaster Recovery</t>
  </si>
  <si>
    <t>Geographycal redundancy</t>
  </si>
  <si>
    <t>CMS</t>
  </si>
  <si>
    <t xml:space="preserve">Microsoft System Center </t>
  </si>
  <si>
    <t>Vmware Vcenter</t>
  </si>
  <si>
    <t>Nokia Cloud Band</t>
  </si>
  <si>
    <t>Other</t>
  </si>
  <si>
    <t>210WBX</t>
  </si>
  <si>
    <t>OPENSHIFT</t>
  </si>
  <si>
    <t>CONTAINERS</t>
  </si>
  <si>
    <t>VSC - NUAGE SDN</t>
  </si>
  <si>
    <t>VSP - NUAGE BASE</t>
  </si>
  <si>
    <t>ALE SWITCHES</t>
  </si>
  <si>
    <t>VSC - NOKIA DATACENTER HARDWARE</t>
  </si>
  <si>
    <t>VSC - ORCHESTRATION LAYER</t>
  </si>
  <si>
    <t>LOAD BALANCERS</t>
  </si>
  <si>
    <t>FIREWALLS</t>
  </si>
  <si>
    <t>SYSLOG SERVER</t>
  </si>
  <si>
    <t>QTY RANGES</t>
  </si>
  <si>
    <t>1 to 5</t>
  </si>
  <si>
    <t>10 to 25</t>
  </si>
  <si>
    <t>25 to 50</t>
  </si>
  <si>
    <t>50 to 100</t>
  </si>
  <si>
    <t>ACTIVITY</t>
  </si>
  <si>
    <t>COST USD</t>
  </si>
  <si>
    <t>LA - Lead Architect</t>
  </si>
  <si>
    <t>DI - Design Ingeneer</t>
  </si>
  <si>
    <t>NI - Network Integration</t>
  </si>
  <si>
    <t>LA.HOURS</t>
  </si>
  <si>
    <t>DI.HOURS</t>
  </si>
  <si>
    <t>NI.HOURS</t>
  </si>
  <si>
    <t>TPM.HOURS</t>
  </si>
  <si>
    <t>Internal planning</t>
  </si>
  <si>
    <t>TOPIC</t>
  </si>
  <si>
    <t>HOURLY COSTS</t>
  </si>
  <si>
    <t>DESIGN</t>
  </si>
  <si>
    <t>TOTAL HOURS</t>
  </si>
  <si>
    <t>TOTAL COST</t>
  </si>
  <si>
    <t>BUSINESS</t>
  </si>
  <si>
    <t>100 to 250</t>
  </si>
  <si>
    <t>250 to 500</t>
  </si>
  <si>
    <t>Openstack</t>
  </si>
  <si>
    <t>DESIGN - BASE</t>
  </si>
  <si>
    <t>BGP PEERING</t>
  </si>
  <si>
    <t>API INTEGRATION</t>
  </si>
  <si>
    <t>DATACENTER SWITCHES</t>
  </si>
  <si>
    <t>TRAFFIC STEERING</t>
  </si>
  <si>
    <t>ADVANCED POLICIES</t>
  </si>
  <si>
    <t>MULTIPLE DOMAINS</t>
  </si>
  <si>
    <t>REPORTING</t>
  </si>
  <si>
    <t>INERNET BREAKOUT</t>
  </si>
  <si>
    <t>PAT / NAT</t>
  </si>
  <si>
    <t>DUAL UPLINK</t>
  </si>
  <si>
    <t>IPSEC</t>
  </si>
  <si>
    <t>DHCP</t>
  </si>
  <si>
    <t>L3 &amp; L4 FIREWALL</t>
  </si>
  <si>
    <t>PORT STATISTICS</t>
  </si>
  <si>
    <t>VNS - NUAGE SDWAN CPEs</t>
  </si>
  <si>
    <t>VSC - ADVANCED FEATURES</t>
  </si>
  <si>
    <t>VNS - STANDARD FEATURES</t>
  </si>
  <si>
    <t>VNS - ADVANCED FEATURES</t>
  </si>
  <si>
    <t>BGP &amp; OSPF</t>
  </si>
  <si>
    <t>REDUNDANT CPEs</t>
  </si>
  <si>
    <t>MANAGED WIFI</t>
  </si>
  <si>
    <t>MANAGED LTE</t>
  </si>
  <si>
    <t>QOS</t>
  </si>
  <si>
    <t>L7 ACLs</t>
  </si>
  <si>
    <t>APPLICATION VISIBILITY &amp; ROUTING</t>
  </si>
  <si>
    <t>SERVICE CHAINING</t>
  </si>
  <si>
    <t>VNS - ENHANCED FEATURES</t>
  </si>
  <si>
    <t>PUBLIC CLOUD CONECTIVITY (VPCs)</t>
  </si>
  <si>
    <t>IPV6</t>
  </si>
  <si>
    <t>SAAS BREAKOUT</t>
  </si>
  <si>
    <t>BRANCH HOSTED VNFs</t>
  </si>
  <si>
    <t>AUTOMATED SECURITY SERVICE INSERTION</t>
  </si>
  <si>
    <t>CONEXT AWARE SECURITY ANALYTICS</t>
  </si>
  <si>
    <t>VNS PORTAL</t>
  </si>
  <si>
    <t>VNS</t>
  </si>
  <si>
    <t>NETWORK PERFORMANCE VISIBILITY</t>
  </si>
  <si>
    <t>COMPLEXITY COEFICIENT EVALUATION</t>
  </si>
  <si>
    <t>DPDK</t>
  </si>
  <si>
    <t>SRIOV</t>
  </si>
  <si>
    <t>CMS 1</t>
  </si>
  <si>
    <t>CMS 2</t>
  </si>
  <si>
    <t>CMS 3</t>
  </si>
  <si>
    <t>VSP</t>
  </si>
  <si>
    <t>MAIN CUSTOMER CONTACT</t>
  </si>
  <si>
    <t>PO</t>
  </si>
  <si>
    <t>500 to 1000</t>
  </si>
  <si>
    <t>1000 to 2000</t>
  </si>
  <si>
    <t>2000 to 5000</t>
  </si>
  <si>
    <t>5000 or more</t>
  </si>
  <si>
    <t>RATIO</t>
  </si>
  <si>
    <t>INSTALL</t>
  </si>
  <si>
    <t>DI to NI sessions</t>
  </si>
  <si>
    <t>VNS Configuration</t>
  </si>
  <si>
    <t>Validation and corrections</t>
  </si>
  <si>
    <t>ATP Creation and Execution</t>
  </si>
  <si>
    <t>VSP Installation</t>
  </si>
  <si>
    <t>On the job training</t>
  </si>
  <si>
    <t>Project Hand Off</t>
  </si>
  <si>
    <t>INSTALL - BASE</t>
  </si>
  <si>
    <t>COMPLEXITY FACTOR</t>
  </si>
  <si>
    <t>CONCEPT</t>
  </si>
  <si>
    <t>COST</t>
  </si>
  <si>
    <t>TRAVEL AND EXPENSE PERCENTAGE</t>
  </si>
  <si>
    <t>National T&amp;E</t>
  </si>
  <si>
    <t>Executive T&amp;E</t>
  </si>
  <si>
    <t>International T&amp;E</t>
  </si>
  <si>
    <t>NOTIFICATION APP</t>
  </si>
  <si>
    <t>VCS</t>
  </si>
  <si>
    <t>VCS - NUAGE SDN</t>
  </si>
  <si>
    <t>VCS - ORCHESTRATION LAYER</t>
  </si>
  <si>
    <t>VCS - NOKIA DATACENTER HARDWARE</t>
  </si>
  <si>
    <t>VCS - ADVANCED FEATURES</t>
  </si>
  <si>
    <t>VCS Configuration</t>
  </si>
  <si>
    <t>COMPLEXITY TOTALS</t>
  </si>
  <si>
    <t>VSC</t>
  </si>
  <si>
    <t>GRAND TOTAL</t>
  </si>
  <si>
    <t>DESIGN QUOTE DETAIL</t>
  </si>
  <si>
    <t>INSTALL QUOTE DETAIL</t>
  </si>
  <si>
    <t>TRAVEL AND EXPENSES QUOTE DETAIL</t>
  </si>
  <si>
    <t>TRAVEL AND EXPENSES</t>
  </si>
  <si>
    <t>Customer Workshoop</t>
  </si>
  <si>
    <t>HLD Draft</t>
  </si>
  <si>
    <t>Internal testing LAB</t>
  </si>
  <si>
    <t>LLD Draft</t>
  </si>
  <si>
    <t>ATP Document</t>
  </si>
  <si>
    <t>Review and final validation</t>
  </si>
  <si>
    <t>Validation of technical requirements</t>
  </si>
  <si>
    <t>Integration with underlay infrastructure (DNS / NTP / Firewall / ETC))</t>
  </si>
  <si>
    <t>VNS Portal Configuration</t>
  </si>
  <si>
    <t>NOKIA 7750 ROUTER INTEGRATION</t>
  </si>
  <si>
    <t>Nokia 7750 router integration</t>
  </si>
  <si>
    <t>BASE TOTAL</t>
  </si>
  <si>
    <t>DESIGN %</t>
  </si>
  <si>
    <t>INSTALL %</t>
  </si>
  <si>
    <t>PERCENTAGE INDICATOR</t>
  </si>
  <si>
    <t>INCLUDE SDWAN ON THIS PROJECT?</t>
  </si>
  <si>
    <t>INCLUDE SDN ON THIS PROJECT?</t>
  </si>
  <si>
    <t>Notification APP Configuration</t>
  </si>
  <si>
    <t>PRECONFIGURED SCENARIOS</t>
  </si>
  <si>
    <t/>
  </si>
  <si>
    <t>DESTINATION</t>
  </si>
  <si>
    <t>WEEK COST</t>
  </si>
  <si>
    <t>TRAVEL COST</t>
  </si>
  <si>
    <t>National T&amp;E 1 week</t>
  </si>
  <si>
    <t>International T&amp;E week</t>
  </si>
  <si>
    <t>5 to 10</t>
  </si>
  <si>
    <t>*No preconfigurations are provided for TELCO CLOUD projects</t>
  </si>
  <si>
    <t>CE-LAT PS QUOTING TOOL RC-V1.0</t>
  </si>
  <si>
    <t>PROFESSIONAL SERVICES QUOTE BIREF</t>
  </si>
  <si>
    <t>PROJECT INFORMATION</t>
  </si>
  <si>
    <t>NUAGE VSP - BASE INFORMATION</t>
  </si>
  <si>
    <t>QUOTE OWNER (WHO CREATED THIS?)</t>
  </si>
  <si>
    <t>QUOTE RESPONSIBLE</t>
  </si>
  <si>
    <t>POTENTIAL REVENUE USD</t>
  </si>
  <si>
    <t>SERVICES COST</t>
  </si>
  <si>
    <t>TRAVEL REQUIRED</t>
  </si>
  <si>
    <t>WEEKS OF NATIONAL TRAVEL</t>
  </si>
  <si>
    <t>WEEKS OF INTERNATIONAL TRAVEL</t>
  </si>
  <si>
    <t>DESIGN SERVICES</t>
  </si>
  <si>
    <t>INSTALL SERVICES</t>
  </si>
  <si>
    <t>T&amp;E</t>
  </si>
  <si>
    <t>TOTAL WEEKS OF TRAVEL</t>
  </si>
  <si>
    <t>TOTAL TRAVEL BUDGET</t>
  </si>
  <si>
    <t>INCLUDED VNS FEATURES</t>
  </si>
  <si>
    <t>INCLUDED VSP FEATURES</t>
  </si>
  <si>
    <t>NSG-C VOLUME</t>
  </si>
  <si>
    <t>NSG-E VOLUME</t>
  </si>
  <si>
    <t>NSG-X VOLUME</t>
  </si>
  <si>
    <t>NOKIA 7750</t>
  </si>
  <si>
    <t>PROJECT COMPLEXITY COEFICIENT</t>
  </si>
  <si>
    <t>P.H. Paulo Goncalves</t>
  </si>
  <si>
    <t>TELCO CLOUD (DOES THE PROJECT INCLUDES VNFs?)</t>
  </si>
  <si>
    <t>INDEPENDENT VSD CLUSTER?</t>
  </si>
  <si>
    <t>VSC - ADVANCED INTEGRATIONS</t>
  </si>
  <si>
    <t>Paulo Motta</t>
  </si>
  <si>
    <t>CE-LAT PS QUOTING TOOL - V3.0</t>
  </si>
  <si>
    <t>VCS - ADVANCED INTEGRATIONS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</si>
</sst>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0.0"/>
  </numFmts>
  <fonts count="21" x14ac:knownFonts="1">
    <font>
      <sz val="12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u val="singleAccounting"/>
      <sz val="20"/>
      <color rgb="FF0070C0"/>
      <name val="Calibri"/>
      <family val="2"/>
      <scheme val="minor"/>
    </font>
    <font>
      <b/>
      <u val="singleAccounting"/>
      <sz val="2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2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u/>
      <sz val="15"/>
      <color theme="1"/>
      <name val="Calibri"/>
      <family val="2"/>
      <scheme val="minor"/>
    </font>
    <font>
      <b/>
      <sz val="15"/>
      <color rgb="FF000000"/>
      <name val="Calibri"/>
      <family val="2"/>
    </font>
    <font>
      <b/>
      <u/>
      <sz val="15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4A0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DBBBF"/>
        <bgColor indexed="64"/>
      </patternFill>
    </fill>
    <fill>
      <patternFill patternType="solid">
        <fgColor rgb="FFBF675D"/>
        <bgColor indexed="64"/>
      </patternFill>
    </fill>
    <fill>
      <patternFill patternType="solid">
        <fgColor rgb="FF00B0F0"/>
        <bgColor theme="0"/>
      </patternFill>
    </fill>
    <fill>
      <patternFill patternType="solid">
        <fgColor theme="4"/>
        <bgColor indexed="64"/>
      </patternFill>
    </fill>
    <fill>
      <patternFill patternType="solid">
        <fgColor theme="5"/>
        <bgColor theme="0"/>
      </patternFill>
    </fill>
    <fill>
      <patternFill patternType="solid">
        <fgColor theme="7"/>
        <bgColor theme="0"/>
      </patternFill>
    </fill>
    <fill>
      <patternFill patternType="solid">
        <fgColor rgb="FF0070C0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rgb="FFE263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33">
    <xf numFmtId="0" fontId="0" fillId="0" borderId="0" xfId="0"/>
    <xf numFmtId="0" fontId="2" fillId="0" borderId="0" xfId="0" applyFont="1"/>
    <xf numFmtId="49" fontId="3" fillId="0" borderId="1" xfId="0" applyNumberFormat="1" applyFont="1" applyBorder="1" applyAlignment="1">
      <alignment horizontal="right"/>
    </xf>
    <xf numFmtId="0" fontId="2" fillId="2" borderId="1" xfId="0" applyFont="1" applyFill="1" applyBorder="1" applyAlignment="1" applyProtection="1">
      <alignment horizontal="right"/>
      <protection locked="0"/>
    </xf>
    <xf numFmtId="0" fontId="1" fillId="0" borderId="3" xfId="0" applyFont="1" applyBorder="1"/>
    <xf numFmtId="0" fontId="2" fillId="3" borderId="1" xfId="0" applyFont="1" applyFill="1" applyBorder="1" applyAlignment="1" applyProtection="1">
      <alignment horizontal="right"/>
      <protection locked="0"/>
    </xf>
    <xf numFmtId="0" fontId="5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4" fillId="0" borderId="1" xfId="0" applyFont="1" applyBorder="1"/>
    <xf numFmtId="0" fontId="1" fillId="0" borderId="1" xfId="0" applyFont="1" applyBorder="1"/>
    <xf numFmtId="1" fontId="0" fillId="0" borderId="1" xfId="0" applyNumberFormat="1" applyBorder="1"/>
    <xf numFmtId="1" fontId="2" fillId="0" borderId="1" xfId="0" applyNumberFormat="1" applyFont="1" applyBorder="1"/>
    <xf numFmtId="165" fontId="4" fillId="0" borderId="1" xfId="1" applyNumberFormat="1" applyFont="1" applyBorder="1"/>
    <xf numFmtId="166" fontId="4" fillId="0" borderId="1" xfId="0" applyNumberFormat="1" applyFont="1" applyBorder="1"/>
    <xf numFmtId="165" fontId="2" fillId="0" borderId="0" xfId="1" applyNumberFormat="1" applyFont="1"/>
    <xf numFmtId="0" fontId="2" fillId="4" borderId="0" xfId="0" applyFont="1" applyFill="1"/>
    <xf numFmtId="0" fontId="2" fillId="5" borderId="0" xfId="0" applyFont="1" applyFill="1"/>
    <xf numFmtId="0" fontId="4" fillId="6" borderId="1" xfId="0" applyFont="1" applyFill="1" applyBorder="1"/>
    <xf numFmtId="0" fontId="0" fillId="5" borderId="0" xfId="0" applyFill="1"/>
    <xf numFmtId="16" fontId="0" fillId="5" borderId="0" xfId="0" applyNumberFormat="1" applyFill="1"/>
    <xf numFmtId="0" fontId="1" fillId="10" borderId="0" xfId="0" applyFont="1" applyFill="1"/>
    <xf numFmtId="0" fontId="2" fillId="10" borderId="0" xfId="0" applyFont="1" applyFill="1"/>
    <xf numFmtId="0" fontId="0" fillId="5" borderId="0" xfId="0" applyFill="1" applyAlignment="1"/>
    <xf numFmtId="0" fontId="0" fillId="5" borderId="0" xfId="0" applyFill="1" applyBorder="1" applyAlignment="1"/>
    <xf numFmtId="0" fontId="0" fillId="5" borderId="14" xfId="0" applyFill="1" applyBorder="1" applyAlignment="1"/>
    <xf numFmtId="0" fontId="0" fillId="5" borderId="13" xfId="0" applyFill="1" applyBorder="1" applyAlignment="1"/>
    <xf numFmtId="165" fontId="5" fillId="0" borderId="1" xfId="1" applyNumberFormat="1" applyFont="1" applyBorder="1"/>
    <xf numFmtId="9" fontId="3" fillId="5" borderId="1" xfId="2" applyFont="1" applyFill="1" applyBorder="1" applyAlignment="1"/>
    <xf numFmtId="0" fontId="9" fillId="0" borderId="7" xfId="0" applyFont="1" applyBorder="1"/>
    <xf numFmtId="165" fontId="9" fillId="0" borderId="8" xfId="1" applyNumberFormat="1" applyFont="1" applyBorder="1"/>
    <xf numFmtId="0" fontId="10" fillId="0" borderId="1" xfId="0" applyFont="1" applyBorder="1"/>
    <xf numFmtId="165" fontId="10" fillId="0" borderId="1" xfId="1" applyNumberFormat="1" applyFont="1" applyBorder="1"/>
    <xf numFmtId="166" fontId="12" fillId="0" borderId="1" xfId="0" applyNumberFormat="1" applyFont="1" applyBorder="1"/>
    <xf numFmtId="1" fontId="0" fillId="0" borderId="1" xfId="0" applyNumberFormat="1" applyFill="1" applyBorder="1"/>
    <xf numFmtId="1" fontId="14" fillId="0" borderId="1" xfId="0" applyNumberFormat="1" applyFont="1" applyFill="1" applyBorder="1"/>
    <xf numFmtId="9" fontId="0" fillId="5" borderId="0" xfId="2" applyFont="1" applyFill="1" applyAlignment="1"/>
    <xf numFmtId="164" fontId="1" fillId="0" borderId="1" xfId="1" applyFont="1" applyBorder="1"/>
    <xf numFmtId="0" fontId="15" fillId="0" borderId="1" xfId="0" applyFont="1" applyBorder="1"/>
    <xf numFmtId="9" fontId="15" fillId="0" borderId="1" xfId="2" applyFont="1" applyBorder="1"/>
    <xf numFmtId="166" fontId="3" fillId="5" borderId="1" xfId="0" applyNumberFormat="1" applyFont="1" applyFill="1" applyBorder="1" applyAlignment="1"/>
    <xf numFmtId="9" fontId="0" fillId="5" borderId="0" xfId="0" applyNumberFormat="1" applyFill="1" applyAlignment="1"/>
    <xf numFmtId="164" fontId="0" fillId="5" borderId="0" xfId="0" applyNumberFormat="1" applyFill="1" applyAlignment="1"/>
    <xf numFmtId="0" fontId="0" fillId="0" borderId="0" xfId="0" applyFill="1"/>
    <xf numFmtId="0" fontId="4" fillId="0" borderId="1" xfId="0" applyFont="1" applyFill="1" applyBorder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" fontId="11" fillId="0" borderId="1" xfId="0" applyNumberFormat="1" applyFont="1" applyFill="1" applyBorder="1"/>
    <xf numFmtId="0" fontId="4" fillId="5" borderId="0" xfId="0" applyFont="1" applyFill="1" applyBorder="1" applyAlignment="1">
      <alignment horizontal="center"/>
    </xf>
    <xf numFmtId="0" fontId="2" fillId="5" borderId="12" xfId="0" applyFont="1" applyFill="1" applyBorder="1" applyAlignment="1"/>
    <xf numFmtId="0" fontId="2" fillId="5" borderId="0" xfId="0" applyFont="1" applyFill="1" applyBorder="1" applyAlignment="1"/>
    <xf numFmtId="0" fontId="2" fillId="5" borderId="10" xfId="0" applyFont="1" applyFill="1" applyBorder="1" applyAlignment="1"/>
    <xf numFmtId="0" fontId="2" fillId="5" borderId="13" xfId="0" applyFont="1" applyFill="1" applyBorder="1" applyAlignment="1"/>
    <xf numFmtId="0" fontId="2" fillId="5" borderId="14" xfId="0" applyFont="1" applyFill="1" applyBorder="1" applyAlignment="1"/>
    <xf numFmtId="0" fontId="2" fillId="5" borderId="15" xfId="0" applyFont="1" applyFill="1" applyBorder="1" applyAlignment="1"/>
    <xf numFmtId="0" fontId="0" fillId="5" borderId="0" xfId="0" applyFill="1" applyBorder="1"/>
    <xf numFmtId="0" fontId="18" fillId="0" borderId="3" xfId="0" applyFont="1" applyBorder="1"/>
    <xf numFmtId="0" fontId="3" fillId="5" borderId="1" xfId="0" applyFont="1" applyFill="1" applyBorder="1" applyAlignment="1">
      <alignment horizontal="left"/>
    </xf>
    <xf numFmtId="0" fontId="3" fillId="5" borderId="1" xfId="0" applyFont="1" applyFill="1" applyBorder="1" applyAlignment="1"/>
    <xf numFmtId="0" fontId="20" fillId="5" borderId="1" xfId="0" applyFont="1" applyFill="1" applyBorder="1" applyAlignment="1"/>
    <xf numFmtId="0" fontId="20" fillId="5" borderId="1" xfId="0" applyFont="1" applyFill="1" applyBorder="1" applyAlignment="1">
      <alignment horizontal="right"/>
    </xf>
    <xf numFmtId="166" fontId="20" fillId="5" borderId="1" xfId="0" applyNumberFormat="1" applyFont="1" applyFill="1" applyBorder="1" applyAlignment="1">
      <alignment horizontal="right"/>
    </xf>
    <xf numFmtId="165" fontId="20" fillId="5" borderId="1" xfId="1" applyNumberFormat="1" applyFont="1" applyFill="1" applyBorder="1" applyAlignment="1">
      <alignment horizontal="right"/>
    </xf>
    <xf numFmtId="0" fontId="19" fillId="5" borderId="1" xfId="0" applyFont="1" applyFill="1" applyBorder="1" applyAlignment="1">
      <alignment horizontal="left"/>
    </xf>
    <xf numFmtId="165" fontId="19" fillId="5" borderId="1" xfId="1" applyNumberFormat="1" applyFont="1" applyFill="1" applyBorder="1" applyAlignment="1">
      <alignment horizontal="right"/>
    </xf>
    <xf numFmtId="0" fontId="19" fillId="5" borderId="1" xfId="0" applyFont="1" applyFill="1" applyBorder="1" applyAlignment="1"/>
    <xf numFmtId="165" fontId="10" fillId="5" borderId="1" xfId="1" applyNumberFormat="1" applyFont="1" applyFill="1" applyBorder="1" applyAlignment="1"/>
    <xf numFmtId="0" fontId="3" fillId="5" borderId="0" xfId="0" applyFont="1" applyFill="1" applyAlignment="1"/>
    <xf numFmtId="0" fontId="20" fillId="5" borderId="0" xfId="0" applyFont="1" applyFill="1" applyAlignment="1">
      <alignment horizontal="right"/>
    </xf>
    <xf numFmtId="0" fontId="20" fillId="5" borderId="1" xfId="0" applyFont="1" applyFill="1" applyBorder="1" applyAlignment="1" applyProtection="1">
      <alignment horizontal="right"/>
      <protection locked="0"/>
    </xf>
    <xf numFmtId="0" fontId="3" fillId="5" borderId="1" xfId="0" applyFont="1" applyFill="1" applyBorder="1" applyAlignment="1" applyProtection="1">
      <protection locked="0"/>
    </xf>
    <xf numFmtId="0" fontId="3" fillId="23" borderId="1" xfId="0" applyFont="1" applyFill="1" applyBorder="1" applyAlignment="1">
      <alignment horizontal="center"/>
    </xf>
    <xf numFmtId="0" fontId="3" fillId="22" borderId="1" xfId="0" applyFont="1" applyFill="1" applyBorder="1" applyAlignment="1">
      <alignment horizontal="center"/>
    </xf>
    <xf numFmtId="0" fontId="3" fillId="19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21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 textRotation="255"/>
    </xf>
    <xf numFmtId="0" fontId="3" fillId="16" borderId="7" xfId="0" applyFont="1" applyFill="1" applyBorder="1" applyAlignment="1">
      <alignment horizontal="center"/>
    </xf>
    <xf numFmtId="0" fontId="3" fillId="16" borderId="8" xfId="0" applyFont="1" applyFill="1" applyBorder="1" applyAlignment="1">
      <alignment horizontal="center"/>
    </xf>
    <xf numFmtId="0" fontId="3" fillId="16" borderId="3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18" borderId="1" xfId="0" applyFont="1" applyFill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3" fillId="17" borderId="1" xfId="0" applyFont="1" applyFill="1" applyBorder="1" applyAlignment="1">
      <alignment horizontal="center"/>
    </xf>
    <xf numFmtId="0" fontId="8" fillId="16" borderId="11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16" borderId="9" xfId="0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8" fillId="16" borderId="15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1" fontId="3" fillId="5" borderId="7" xfId="0" applyNumberFormat="1" applyFont="1" applyFill="1" applyBorder="1" applyAlignment="1">
      <alignment horizontal="center"/>
    </xf>
    <xf numFmtId="1" fontId="3" fillId="5" borderId="8" xfId="0" applyNumberFormat="1" applyFont="1" applyFill="1" applyBorder="1" applyAlignment="1">
      <alignment horizontal="center"/>
    </xf>
    <xf numFmtId="1" fontId="3" fillId="5" borderId="3" xfId="0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5" borderId="1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 vertical="center" textRotation="255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 vertical="center" textRotation="255"/>
    </xf>
    <xf numFmtId="0" fontId="1" fillId="0" borderId="5" xfId="0" applyFont="1" applyBorder="1" applyAlignment="1">
      <alignment horizontal="center" vertical="center" textRotation="255"/>
    </xf>
    <xf numFmtId="0" fontId="1" fillId="0" borderId="6" xfId="0" applyFont="1" applyBorder="1" applyAlignment="1">
      <alignment horizontal="center" vertical="center" textRotation="255"/>
    </xf>
    <xf numFmtId="0" fontId="3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40"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fill>
        <patternFill patternType="solid">
          <fgColor theme="0"/>
          <bgColor theme="1"/>
        </patternFill>
      </fill>
    </dxf>
    <dxf>
      <font>
        <strike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numFmt numFmtId="165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5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E263FF"/>
      <color rgb="FFBF675D"/>
      <color rgb="FF7DBBBF"/>
      <color rgb="FFFFF4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101600</xdr:rowOff>
    </xdr:from>
    <xdr:to>
      <xdr:col>1</xdr:col>
      <xdr:colOff>1981200</xdr:colOff>
      <xdr:row>3</xdr:row>
      <xdr:rowOff>38100</xdr:rowOff>
    </xdr:to>
    <xdr:pic>
      <xdr:nvPicPr>
        <xdr:cNvPr id="2" name="Graphic 1" descr="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000" y="101600"/>
          <a:ext cx="2349500" cy="546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12700</xdr:rowOff>
        </xdr:from>
        <xdr:to>
          <xdr:col>6</xdr:col>
          <xdr:colOff>0</xdr:colOff>
          <xdr:row>7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101600</xdr:rowOff>
    </xdr:from>
    <xdr:to>
      <xdr:col>1</xdr:col>
      <xdr:colOff>1651000</xdr:colOff>
      <xdr:row>3</xdr:row>
      <xdr:rowOff>38100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000" y="101600"/>
          <a:ext cx="2349500" cy="546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101600</xdr:rowOff>
    </xdr:from>
    <xdr:to>
      <xdr:col>1</xdr:col>
      <xdr:colOff>1955800</xdr:colOff>
      <xdr:row>3</xdr:row>
      <xdr:rowOff>38100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000" y="101600"/>
          <a:ext cx="2349500" cy="546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139700</xdr:colOff>
      <xdr:row>0</xdr:row>
      <xdr:rowOff>76200</xdr:rowOff>
    </xdr:from>
    <xdr:to>
      <xdr:col>1</xdr:col>
      <xdr:colOff>1445142</xdr:colOff>
      <xdr:row>2</xdr:row>
      <xdr:rowOff>165100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700" y="76200"/>
          <a:ext cx="2130942" cy="4953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101600</xdr:rowOff>
    </xdr:from>
    <xdr:to>
      <xdr:col>2</xdr:col>
      <xdr:colOff>419100</xdr:colOff>
      <xdr:row>3</xdr:row>
      <xdr:rowOff>38100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000" y="101600"/>
          <a:ext cx="2349500" cy="546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4</xdr:row>
          <xdr:rowOff>279400</xdr:rowOff>
        </xdr:from>
        <xdr:to>
          <xdr:col>8</xdr:col>
          <xdr:colOff>0</xdr:colOff>
          <xdr:row>7</xdr:row>
          <xdr:rowOff>76200</xdr:rowOff>
        </xdr:to>
        <xdr:sp macro="" textlink="">
          <xdr:nvSpPr>
            <xdr:cNvPr id="4115" name="Button 19" descr="Clear form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4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10</xdr:row>
          <xdr:rowOff>177800</xdr:rowOff>
        </xdr:from>
        <xdr:to>
          <xdr:col>7</xdr:col>
          <xdr:colOff>952500</xdr:colOff>
          <xdr:row>13</xdr:row>
          <xdr:rowOff>228600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4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VNS - 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14</xdr:row>
          <xdr:rowOff>190500</xdr:rowOff>
        </xdr:from>
        <xdr:to>
          <xdr:col>7</xdr:col>
          <xdr:colOff>939800</xdr:colOff>
          <xdr:row>18</xdr:row>
          <xdr:rowOff>38100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4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VNS -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18</xdr:row>
          <xdr:rowOff>190500</xdr:rowOff>
        </xdr:from>
        <xdr:to>
          <xdr:col>7</xdr:col>
          <xdr:colOff>977900</xdr:colOff>
          <xdr:row>22</xdr:row>
          <xdr:rowOff>38100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4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VNS - Advanced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22</xdr:row>
          <xdr:rowOff>203200</xdr:rowOff>
        </xdr:from>
        <xdr:to>
          <xdr:col>7</xdr:col>
          <xdr:colOff>977900</xdr:colOff>
          <xdr:row>26</xdr:row>
          <xdr:rowOff>50800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4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VNS - Complex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1485900</xdr:colOff>
          <xdr:row>10</xdr:row>
          <xdr:rowOff>165100</xdr:rowOff>
        </xdr:from>
        <xdr:to>
          <xdr:col>7</xdr:col>
          <xdr:colOff>3784600</xdr:colOff>
          <xdr:row>13</xdr:row>
          <xdr:rowOff>215900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4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VCS - 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1473200</xdr:colOff>
          <xdr:row>14</xdr:row>
          <xdr:rowOff>203200</xdr:rowOff>
        </xdr:from>
        <xdr:to>
          <xdr:col>7</xdr:col>
          <xdr:colOff>3771900</xdr:colOff>
          <xdr:row>18</xdr:row>
          <xdr:rowOff>50800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4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VCS -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1473200</xdr:colOff>
          <xdr:row>18</xdr:row>
          <xdr:rowOff>203200</xdr:rowOff>
        </xdr:from>
        <xdr:to>
          <xdr:col>7</xdr:col>
          <xdr:colOff>3771900</xdr:colOff>
          <xdr:row>22</xdr:row>
          <xdr:rowOff>50800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4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VCS - Advanced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1473200</xdr:colOff>
          <xdr:row>22</xdr:row>
          <xdr:rowOff>215900</xdr:rowOff>
        </xdr:from>
        <xdr:to>
          <xdr:col>7</xdr:col>
          <xdr:colOff>3771900</xdr:colOff>
          <xdr:row>26</xdr:row>
          <xdr:rowOff>63500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4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VCS - Complex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1054100</xdr:colOff>
          <xdr:row>10</xdr:row>
          <xdr:rowOff>190500</xdr:rowOff>
        </xdr:from>
        <xdr:to>
          <xdr:col>7</xdr:col>
          <xdr:colOff>1397000</xdr:colOff>
          <xdr:row>13</xdr:row>
          <xdr:rowOff>228600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4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1041400</xdr:colOff>
          <xdr:row>14</xdr:row>
          <xdr:rowOff>190500</xdr:rowOff>
        </xdr:from>
        <xdr:to>
          <xdr:col>7</xdr:col>
          <xdr:colOff>1384300</xdr:colOff>
          <xdr:row>18</xdr:row>
          <xdr:rowOff>25400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4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1054100</xdr:colOff>
          <xdr:row>18</xdr:row>
          <xdr:rowOff>203200</xdr:rowOff>
        </xdr:from>
        <xdr:to>
          <xdr:col>7</xdr:col>
          <xdr:colOff>1397000</xdr:colOff>
          <xdr:row>22</xdr:row>
          <xdr:rowOff>38100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4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1041400</xdr:colOff>
          <xdr:row>22</xdr:row>
          <xdr:rowOff>215900</xdr:rowOff>
        </xdr:from>
        <xdr:to>
          <xdr:col>7</xdr:col>
          <xdr:colOff>1384300</xdr:colOff>
          <xdr:row>26</xdr:row>
          <xdr:rowOff>50800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4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27</xdr:row>
      <xdr:rowOff>0</xdr:rowOff>
    </xdr:from>
    <xdr:to>
      <xdr:col>4</xdr:col>
      <xdr:colOff>50800</xdr:colOff>
      <xdr:row>28</xdr:row>
      <xdr:rowOff>101600</xdr:rowOff>
    </xdr:to>
    <xdr:sp macro="" textlink="">
      <xdr:nvSpPr>
        <xdr:cNvPr id="4097" name="AutoShape 1" descr="Nuage Networks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SpPr>
          <a:spLocks noChangeAspect="1" noChangeArrowheads="1"/>
        </xdr:cNvSpPr>
      </xdr:nvSpPr>
      <xdr:spPr bwMode="auto">
        <a:xfrm>
          <a:off x="5384800" y="533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27</xdr:row>
      <xdr:rowOff>0</xdr:rowOff>
    </xdr:from>
    <xdr:to>
      <xdr:col>4</xdr:col>
      <xdr:colOff>50800</xdr:colOff>
      <xdr:row>28</xdr:row>
      <xdr:rowOff>101600</xdr:rowOff>
    </xdr:to>
    <xdr:sp macro="" textlink="">
      <xdr:nvSpPr>
        <xdr:cNvPr id="4098" name="AutoShape 2" descr="Nuage Networks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SpPr>
          <a:spLocks noChangeAspect="1" noChangeArrowheads="1"/>
        </xdr:cNvSpPr>
      </xdr:nvSpPr>
      <xdr:spPr bwMode="auto">
        <a:xfrm>
          <a:off x="5384800" y="533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190500</xdr:colOff>
      <xdr:row>0</xdr:row>
      <xdr:rowOff>139700</xdr:rowOff>
    </xdr:from>
    <xdr:to>
      <xdr:col>0</xdr:col>
      <xdr:colOff>2540000</xdr:colOff>
      <xdr:row>3</xdr:row>
      <xdr:rowOff>76200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139700"/>
          <a:ext cx="2349500" cy="546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C2980F-F3F3-1F42-8CED-28FFC06F0294}" name="Table15" displayName="Table15" ref="B7:C11" totalsRowShown="0" headerRowDxfId="39" dataDxfId="38">
  <autoFilter ref="B7:C11" xr:uid="{6D917CED-B608-DB4F-A690-C860A53DB8E6}"/>
  <tableColumns count="2">
    <tableColumn id="1" xr3:uid="{336998A5-A9A7-E147-BD39-1D6611ADC82E}" name="ROLE" dataDxfId="37"/>
    <tableColumn id="2" xr3:uid="{59FF0AA5-0EF2-6B42-A90A-807FA9010CC1}" name="COST USD" dataDxfId="36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CE3ECE-6CE0-5C44-AD52-ECEB3D5EFB9B}" name="Table1" displayName="Table1" ref="A6:A11" totalsRowShown="0" headerRowDxfId="35" dataDxfId="34">
  <autoFilter ref="A6:A11" xr:uid="{E58A8573-B151-AF47-8EAB-4D68368B558C}"/>
  <tableColumns count="1">
    <tableColumn id="1" xr3:uid="{C04FC062-FB88-A243-9F93-7482692B4F11}" name="PROJECT" dataDxfId="3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5E1EBC-1F1B-D440-8B70-630E34568F1D}" name="Table2" displayName="Table2" ref="C6:C10" totalsRowShown="0" headerRowDxfId="32" dataDxfId="31">
  <autoFilter ref="C6:C10" xr:uid="{D6F03AE9-12AE-7445-A066-6510634883D4}"/>
  <tableColumns count="1">
    <tableColumn id="1" xr3:uid="{BEF60460-3E5B-6749-9F57-2A405D446242}" name="VERTICAL" dataDxfId="3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14C558-5DBF-EF46-B73E-97E62A80DA43}" name="Table3" displayName="Table3" ref="E6:E12" totalsRowShown="0" headerRowDxfId="29" dataDxfId="28">
  <autoFilter ref="E6:E12" xr:uid="{D5CAD45A-310D-484B-838C-C880B301722E}"/>
  <tableColumns count="1">
    <tableColumn id="1" xr3:uid="{D955DD1F-C45F-874B-AC1E-BD819810EDB3}" name="REGION" dataDxfId="2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AFDA23-4554-4D4B-BE6D-E2F22AC92F19}" name="Table4" displayName="Table4" ref="G6:G10" totalsRowShown="0" headerRowDxfId="26" dataDxfId="25">
  <autoFilter ref="G6:G10" xr:uid="{894ED890-9591-1F4C-B74F-1E66A3310FAA}"/>
  <tableColumns count="1">
    <tableColumn id="1" xr3:uid="{3E5BA384-2283-8543-B5D7-E4302814A166}" name="COMMERCIAL STATUS" dataDxfId="2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B4971C-3E66-FB47-B44A-1CD57F8766E8}" name="Table5" displayName="Table5" ref="I6:I12" totalsRowShown="0" headerRowDxfId="23" dataDxfId="22">
  <autoFilter ref="I6:I12" xr:uid="{038B8B2A-26AA-764E-BA1B-8EB02D9E565A}"/>
  <tableColumns count="1">
    <tableColumn id="1" xr3:uid="{16ADE75F-E74C-DB42-B820-4D77556422C7}" name="BDM" dataDxfId="2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FB85B92-B1A8-7641-BC12-374819918DFD}" name="Table6" displayName="Table6" ref="K6:K8" totalsRowShown="0" headerRowDxfId="20" dataDxfId="19">
  <autoFilter ref="K6:K8" xr:uid="{D34BDDF2-D346-C145-B39B-5B9C226B5092}"/>
  <tableColumns count="1">
    <tableColumn id="1" xr3:uid="{4CE87136-C87B-CF43-A53A-A250B7B9A293}" name="YES/NO" dataDxfId="1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D48247-546A-2E4A-B89D-3171411D7467}" name="Table7" displayName="Table7" ref="M6:M14" totalsRowShown="0" headerRowDxfId="17" dataDxfId="16">
  <autoFilter ref="M6:M14" xr:uid="{CDA8D145-1296-A94E-A4AB-5441C864E977}"/>
  <tableColumns count="1">
    <tableColumn id="1" xr3:uid="{69760D08-55B0-3646-BC51-4390C07A8C21}" name="REVENUE" dataDxfId="15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9A61753-52AF-DF4B-B0EA-8D5519C7F92D}" name="Table9" displayName="Table9" ref="O6:O13" totalsRowShown="0" headerRowDxfId="14" dataDxfId="13">
  <autoFilter ref="O6:O13" xr:uid="{4BA4CA97-5B9A-9246-805C-020FF2C34215}"/>
  <tableColumns count="1">
    <tableColumn id="1" xr3:uid="{6704D2B5-2508-D541-B47D-BF7E65AFB86A}" name="NUAGE VERSIONS" dataDxfId="12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C7C310-58B7-7E46-B15D-E8DD318A9CF4}" name="Table11" displayName="Table11" ref="Q6:Q107" totalsRowShown="0" headerRowDxfId="11" dataDxfId="10">
  <autoFilter ref="Q6:Q107" xr:uid="{003CAB45-2BCF-334D-B887-902554C4C7BB}"/>
  <tableColumns count="1">
    <tableColumn id="1" xr3:uid="{B99784E8-AEF5-E748-B9FD-785EA23858F1}" name="QTY" dataDxfId="9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5B14F6C-D743-A94B-BB15-A9DE2246EF21}" name="Table12" displayName="Table12" ref="U6:U9" totalsRowShown="0" headerRowDxfId="8" dataDxfId="7">
  <autoFilter ref="U6:U9" xr:uid="{B8B883AA-51BD-AA4C-A776-2FBB4F99D394}"/>
  <tableColumns count="1">
    <tableColumn id="1" xr3:uid="{5F1C8DF0-4F83-4D4E-9254-09032691381E}" name="HA" dataDxfId="6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BE02409-396F-D846-90B8-D6B927098F8D}" name="Table13" displayName="Table13" ref="W6:W12" totalsRowShown="0" headerRowDxfId="5" dataDxfId="4">
  <autoFilter ref="W6:W12" xr:uid="{763A5667-D5BC-8440-876D-74AF319CBAF4}"/>
  <tableColumns count="1">
    <tableColumn id="1" xr3:uid="{56BA3D88-244D-504A-9107-64A3884E41B1}" name="CMS" dataDxfId="3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E7E5539-3F67-8D49-BD95-08085770D0A2}" name="Table14" displayName="Table14" ref="S6:S18" totalsRowShown="0" headerRowDxfId="2" dataDxfId="1">
  <autoFilter ref="S6:S18" xr:uid="{F7600231-8DF0-2A4D-A234-4B101F045714}"/>
  <tableColumns count="1">
    <tableColumn id="1" xr3:uid="{03CFC66B-68FE-6746-901B-068DABDB6FEF}" name="QTY RANGE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B3B85-9155-3342-ACBD-07C2701DA592}">
  <sheetPr codeName="Sheet7"/>
  <dimension ref="A1:BF482"/>
  <sheetViews>
    <sheetView tabSelected="1" zoomScale="80" zoomScaleNormal="80" workbookViewId="0">
      <selection activeCell="G11" sqref="G11"/>
    </sheetView>
  </sheetViews>
  <sheetFormatPr baseColWidth="10" defaultColWidth="11" defaultRowHeight="16" x14ac:dyDescent="0.2"/>
  <cols>
    <col min="1" max="1" width="6.5" style="23" customWidth="1"/>
    <col min="2" max="2" width="55.33203125" customWidth="1"/>
    <col min="3" max="3" width="43.6640625" customWidth="1"/>
    <col min="4" max="4" width="8.1640625" customWidth="1"/>
    <col min="5" max="5" width="52.1640625" customWidth="1"/>
    <col min="6" max="6" width="39.6640625" customWidth="1"/>
    <col min="7" max="7" width="20.1640625" customWidth="1"/>
    <col min="8" max="8" width="19.1640625" bestFit="1" customWidth="1"/>
    <col min="9" max="54" width="10.83203125" style="23"/>
    <col min="55" max="58" width="10.83203125" style="19"/>
  </cols>
  <sheetData>
    <row r="1" spans="1:58" s="19" customFormat="1" ht="16" customHeight="1" x14ac:dyDescent="0.2">
      <c r="A1" s="75" t="s">
        <v>257</v>
      </c>
      <c r="B1" s="75"/>
      <c r="C1" s="75"/>
      <c r="D1" s="75"/>
      <c r="E1" s="75"/>
      <c r="F1" s="75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8" s="19" customFormat="1" ht="16" customHeight="1" x14ac:dyDescent="0.2">
      <c r="A2" s="75"/>
      <c r="B2" s="75"/>
      <c r="C2" s="75"/>
      <c r="D2" s="75"/>
      <c r="E2" s="75"/>
      <c r="F2" s="75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</row>
    <row r="3" spans="1:58" s="19" customFormat="1" ht="16" customHeight="1" x14ac:dyDescent="0.2">
      <c r="A3" s="75"/>
      <c r="B3" s="75"/>
      <c r="C3" s="75"/>
      <c r="D3" s="75"/>
      <c r="E3" s="75"/>
      <c r="F3" s="75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8" s="19" customFormat="1" ht="16" customHeight="1" x14ac:dyDescent="0.2">
      <c r="A4" s="75"/>
      <c r="B4" s="75"/>
      <c r="C4" s="75"/>
      <c r="D4" s="75"/>
      <c r="E4" s="75"/>
      <c r="F4" s="75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</row>
    <row r="5" spans="1:58" s="19" customFormat="1" ht="26" x14ac:dyDescent="0.3">
      <c r="A5" s="76" t="s">
        <v>230</v>
      </c>
      <c r="B5" s="76"/>
      <c r="C5" s="76"/>
      <c r="D5" s="76"/>
      <c r="E5" s="76"/>
      <c r="F5" s="76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</row>
    <row r="6" spans="1:58" s="19" customFormat="1" x14ac:dyDescent="0.2">
      <c r="A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8" s="19" customFormat="1" x14ac:dyDescent="0.2">
      <c r="A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</row>
    <row r="8" spans="1:58" s="19" customFormat="1" x14ac:dyDescent="0.2">
      <c r="A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</row>
    <row r="9" spans="1:58" s="19" customFormat="1" x14ac:dyDescent="0.2">
      <c r="A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8" s="23" customFormat="1" ht="26" x14ac:dyDescent="0.3">
      <c r="B10" s="73" t="s">
        <v>231</v>
      </c>
      <c r="C10" s="73"/>
      <c r="E10" s="74" t="s">
        <v>232</v>
      </c>
      <c r="F10" s="74"/>
      <c r="BC10" s="19"/>
      <c r="BD10" s="19"/>
      <c r="BE10" s="19"/>
      <c r="BF10" s="19"/>
    </row>
    <row r="11" spans="1:58" s="23" customFormat="1" ht="26" x14ac:dyDescent="0.3">
      <c r="B11" s="57" t="str">
        <f>'01 - INPUT'!C10</f>
        <v>ACCOUNT NAME</v>
      </c>
      <c r="C11" s="60" t="str">
        <f>IF('01 - INPUT'!D10=0,"",'01 - INPUT'!D10)</f>
        <v/>
      </c>
      <c r="E11" s="58" t="str">
        <f>'01 - INPUT'!C36</f>
        <v>MIGRATION</v>
      </c>
      <c r="F11" s="60" t="str">
        <f>'01 - INPUT'!D36</f>
        <v>No</v>
      </c>
      <c r="BC11" s="19"/>
      <c r="BD11" s="19"/>
      <c r="BE11" s="19"/>
      <c r="BF11" s="19"/>
    </row>
    <row r="12" spans="1:58" s="23" customFormat="1" ht="26" x14ac:dyDescent="0.3">
      <c r="B12" s="58" t="s">
        <v>251</v>
      </c>
      <c r="C12" s="61" t="str">
        <f>IF('03 - SERVICES BASE'!H8=0,"",'03 - SERVICES BASE'!H8)</f>
        <v/>
      </c>
      <c r="E12" s="58" t="str">
        <f>'01 - INPUT'!C37</f>
        <v>CURRENT VERSION</v>
      </c>
      <c r="F12" s="60" t="str">
        <f>'01 - INPUT'!D37</f>
        <v>None</v>
      </c>
      <c r="BC12" s="19"/>
      <c r="BD12" s="19"/>
      <c r="BE12" s="19"/>
      <c r="BF12" s="19"/>
    </row>
    <row r="13" spans="1:58" s="23" customFormat="1" ht="26" x14ac:dyDescent="0.3">
      <c r="B13" s="58" t="s">
        <v>234</v>
      </c>
      <c r="C13" s="60" t="str">
        <f>IF('01 - INPUT'!D11=0,"",'01 - INPUT'!D11)</f>
        <v/>
      </c>
      <c r="E13" s="58" t="str">
        <f>'01 - INPUT'!C38</f>
        <v>VERSION TO INSTALL</v>
      </c>
      <c r="F13" s="60" t="str">
        <f>'01 - INPUT'!D38</f>
        <v>None</v>
      </c>
      <c r="BC13" s="19"/>
      <c r="BD13" s="19"/>
      <c r="BE13" s="19"/>
      <c r="BF13" s="19"/>
    </row>
    <row r="14" spans="1:58" s="23" customFormat="1" ht="26" x14ac:dyDescent="0.3">
      <c r="B14" s="58" t="str">
        <f>'01 - INPUT'!C12</f>
        <v>VERTICAL</v>
      </c>
      <c r="C14" s="60" t="str">
        <f>'01 - INPUT'!D12</f>
        <v>None</v>
      </c>
      <c r="E14" s="58" t="str">
        <f>'01 - INPUT'!C39</f>
        <v>DATACENTERS</v>
      </c>
      <c r="F14" s="60">
        <f>'01 - INPUT'!D39</f>
        <v>0</v>
      </c>
      <c r="BC14" s="19"/>
      <c r="BD14" s="19"/>
      <c r="BE14" s="19"/>
      <c r="BF14" s="19"/>
    </row>
    <row r="15" spans="1:58" s="23" customFormat="1" ht="26" x14ac:dyDescent="0.3">
      <c r="B15" s="58" t="str">
        <f>'01 - INPUT'!C13</f>
        <v>CLUSTER</v>
      </c>
      <c r="C15" s="60" t="str">
        <f>'01 - INPUT'!D13</f>
        <v>None</v>
      </c>
      <c r="E15" s="58" t="str">
        <f>'01 - INPUT'!C40</f>
        <v>HA MODEL</v>
      </c>
      <c r="F15" s="60" t="str">
        <f>'01 - INPUT'!D40</f>
        <v>None</v>
      </c>
      <c r="BC15" s="19"/>
      <c r="BD15" s="19"/>
      <c r="BE15" s="19"/>
      <c r="BF15" s="19"/>
    </row>
    <row r="16" spans="1:58" s="23" customFormat="1" x14ac:dyDescent="0.2">
      <c r="BC16" s="19"/>
      <c r="BD16" s="19"/>
      <c r="BE16" s="19"/>
      <c r="BF16" s="19"/>
    </row>
    <row r="17" spans="2:58" s="23" customFormat="1" ht="26" x14ac:dyDescent="0.3">
      <c r="B17" s="77" t="s">
        <v>236</v>
      </c>
      <c r="C17" s="77"/>
      <c r="E17" s="78" t="s">
        <v>237</v>
      </c>
      <c r="F17" s="78"/>
      <c r="BC17" s="19"/>
      <c r="BD17" s="19"/>
      <c r="BE17" s="19"/>
      <c r="BF17" s="19"/>
    </row>
    <row r="18" spans="2:58" s="23" customFormat="1" ht="26" x14ac:dyDescent="0.3">
      <c r="B18" s="57" t="str">
        <f>'04 - SERVICES QUOTE'!B9</f>
        <v>DESIGN SERVICES</v>
      </c>
      <c r="C18" s="62">
        <f>'04 - SERVICES QUOTE'!C9</f>
        <v>0</v>
      </c>
      <c r="E18" s="58" t="str">
        <f>'01 - INPUT'!C32</f>
        <v>WEEKS OF NATIONAL TRAVEL</v>
      </c>
      <c r="F18" s="59">
        <f>'01 - INPUT'!D32</f>
        <v>0</v>
      </c>
      <c r="BC18" s="19"/>
      <c r="BD18" s="19"/>
      <c r="BE18" s="19"/>
      <c r="BF18" s="19"/>
    </row>
    <row r="19" spans="2:58" s="23" customFormat="1" ht="26" x14ac:dyDescent="0.3">
      <c r="B19" s="57" t="str">
        <f>'04 - SERVICES QUOTE'!B10</f>
        <v>INSTALL SERVICES</v>
      </c>
      <c r="C19" s="62">
        <f>'04 - SERVICES QUOTE'!C10</f>
        <v>0</v>
      </c>
      <c r="E19" s="58" t="str">
        <f>'01 - INPUT'!C33</f>
        <v>WEEKS OF INTERNATIONAL TRAVEL</v>
      </c>
      <c r="F19" s="59">
        <f>'01 - INPUT'!D33</f>
        <v>0</v>
      </c>
      <c r="BC19" s="19"/>
      <c r="BD19" s="19"/>
      <c r="BE19" s="19"/>
      <c r="BF19" s="19"/>
    </row>
    <row r="20" spans="2:58" s="23" customFormat="1" ht="26" x14ac:dyDescent="0.3">
      <c r="B20" s="57" t="str">
        <f>'04 - SERVICES QUOTE'!B11</f>
        <v>T&amp;E</v>
      </c>
      <c r="C20" s="62">
        <f>'04 - SERVICES QUOTE'!C11</f>
        <v>0</v>
      </c>
      <c r="E20" s="58" t="s">
        <v>243</v>
      </c>
      <c r="F20" s="65">
        <f>SUM(F18:F19)</f>
        <v>0</v>
      </c>
      <c r="BC20" s="19"/>
      <c r="BD20" s="19"/>
      <c r="BE20" s="19"/>
      <c r="BF20" s="19"/>
    </row>
    <row r="21" spans="2:58" s="23" customFormat="1" ht="29" x14ac:dyDescent="0.45">
      <c r="B21" s="63" t="str">
        <f>'04 - SERVICES QUOTE'!B12</f>
        <v>TOTAL COST</v>
      </c>
      <c r="C21" s="64">
        <f>'04 - SERVICES QUOTE'!C12</f>
        <v>0</v>
      </c>
      <c r="E21" s="58" t="s">
        <v>244</v>
      </c>
      <c r="F21" s="66">
        <f>C20</f>
        <v>0</v>
      </c>
      <c r="H21" s="42"/>
      <c r="BC21" s="19"/>
      <c r="BD21" s="19"/>
      <c r="BE21" s="19"/>
      <c r="BF21" s="19"/>
    </row>
    <row r="22" spans="2:58" s="23" customFormat="1" x14ac:dyDescent="0.2">
      <c r="BC22" s="19"/>
      <c r="BD22" s="19"/>
      <c r="BE22" s="19"/>
      <c r="BF22" s="19"/>
    </row>
    <row r="23" spans="2:58" s="23" customFormat="1" ht="26" x14ac:dyDescent="0.3">
      <c r="B23" s="71" t="s">
        <v>245</v>
      </c>
      <c r="C23" s="71"/>
      <c r="E23" s="72" t="s">
        <v>246</v>
      </c>
      <c r="F23" s="72"/>
      <c r="BC23" s="19"/>
      <c r="BD23" s="19"/>
      <c r="BE23" s="19"/>
      <c r="BF23" s="19"/>
    </row>
    <row r="24" spans="2:58" s="23" customFormat="1" ht="26" x14ac:dyDescent="0.3">
      <c r="B24" s="70" t="str">
        <f>'01 - INPUT'!C43</f>
        <v>INCLUDE SDWAN ON THIS PROJECT?</v>
      </c>
      <c r="C24" s="69" t="str">
        <f>'01 - INPUT'!D43</f>
        <v>No</v>
      </c>
      <c r="E24" s="70" t="str">
        <f>'01 - INPUT'!C76</f>
        <v>INCLUDE SDN ON THIS PROJECT?</v>
      </c>
      <c r="F24" s="69" t="str">
        <f>'01 - INPUT'!D76</f>
        <v>No</v>
      </c>
      <c r="BC24" s="19"/>
      <c r="BD24" s="19"/>
      <c r="BE24" s="19"/>
      <c r="BF24" s="19"/>
    </row>
    <row r="25" spans="2:58" s="23" customFormat="1" ht="26" x14ac:dyDescent="0.3">
      <c r="B25" s="70"/>
      <c r="C25" s="69"/>
      <c r="E25" s="70"/>
      <c r="F25" s="69"/>
      <c r="BC25" s="19"/>
      <c r="BD25" s="19"/>
      <c r="BE25" s="19"/>
      <c r="BF25" s="19"/>
    </row>
    <row r="26" spans="2:58" s="23" customFormat="1" ht="26" x14ac:dyDescent="0.3">
      <c r="B26" s="70"/>
      <c r="C26" s="69"/>
      <c r="E26" s="70"/>
      <c r="F26" s="69"/>
      <c r="BC26" s="19"/>
      <c r="BD26" s="19"/>
      <c r="BE26" s="19"/>
      <c r="BF26" s="19"/>
    </row>
    <row r="27" spans="2:58" s="23" customFormat="1" ht="26" x14ac:dyDescent="0.3">
      <c r="B27" s="70"/>
      <c r="C27" s="69"/>
      <c r="E27" s="70"/>
      <c r="F27" s="69"/>
      <c r="BC27" s="19"/>
      <c r="BD27" s="19"/>
      <c r="BE27" s="19"/>
      <c r="BF27" s="19"/>
    </row>
    <row r="28" spans="2:58" s="23" customFormat="1" ht="26" x14ac:dyDescent="0.3">
      <c r="B28" s="70"/>
      <c r="C28" s="69"/>
      <c r="E28" s="70"/>
      <c r="F28" s="69"/>
      <c r="BC28" s="19"/>
      <c r="BD28" s="19"/>
      <c r="BE28" s="19"/>
      <c r="BF28" s="19"/>
    </row>
    <row r="29" spans="2:58" s="23" customFormat="1" ht="26" x14ac:dyDescent="0.3">
      <c r="B29" s="70"/>
      <c r="C29" s="69"/>
      <c r="E29" s="70"/>
      <c r="F29" s="69"/>
      <c r="BC29" s="19"/>
      <c r="BD29" s="19"/>
      <c r="BE29" s="19"/>
      <c r="BF29" s="19"/>
    </row>
    <row r="30" spans="2:58" s="23" customFormat="1" ht="26" x14ac:dyDescent="0.3">
      <c r="B30" s="70"/>
      <c r="C30" s="69"/>
      <c r="E30" s="70"/>
      <c r="F30" s="69"/>
      <c r="BC30" s="19"/>
      <c r="BD30" s="19"/>
      <c r="BE30" s="19"/>
      <c r="BF30" s="19"/>
    </row>
    <row r="31" spans="2:58" s="23" customFormat="1" ht="26" x14ac:dyDescent="0.3">
      <c r="B31" s="70"/>
      <c r="C31" s="69"/>
      <c r="E31" s="70"/>
      <c r="F31" s="69"/>
      <c r="BC31" s="19"/>
      <c r="BD31" s="19"/>
      <c r="BE31" s="19"/>
      <c r="BF31" s="19"/>
    </row>
    <row r="32" spans="2:58" s="23" customFormat="1" ht="26" x14ac:dyDescent="0.3">
      <c r="B32" s="70"/>
      <c r="C32" s="69"/>
      <c r="E32" s="70"/>
      <c r="F32" s="69"/>
      <c r="BC32" s="19"/>
      <c r="BD32" s="19"/>
      <c r="BE32" s="19"/>
      <c r="BF32" s="19"/>
    </row>
    <row r="33" spans="2:58" s="23" customFormat="1" ht="26" x14ac:dyDescent="0.3">
      <c r="B33" s="70"/>
      <c r="C33" s="69"/>
      <c r="E33" s="70"/>
      <c r="F33" s="69"/>
      <c r="BC33" s="19"/>
      <c r="BD33" s="19"/>
      <c r="BE33" s="19"/>
      <c r="BF33" s="19"/>
    </row>
    <row r="34" spans="2:58" s="23" customFormat="1" ht="26" x14ac:dyDescent="0.3">
      <c r="B34" s="70"/>
      <c r="C34" s="69"/>
      <c r="E34" s="70"/>
      <c r="F34" s="69"/>
      <c r="BC34" s="19"/>
      <c r="BD34" s="19"/>
      <c r="BE34" s="19"/>
      <c r="BF34" s="19"/>
    </row>
    <row r="35" spans="2:58" s="23" customFormat="1" ht="26" x14ac:dyDescent="0.3">
      <c r="B35" s="70"/>
      <c r="C35" s="69"/>
      <c r="E35" s="70"/>
      <c r="F35" s="69"/>
      <c r="BC35" s="19"/>
      <c r="BD35" s="19"/>
      <c r="BE35" s="19"/>
      <c r="BF35" s="19"/>
    </row>
    <row r="36" spans="2:58" s="23" customFormat="1" ht="26" x14ac:dyDescent="0.3">
      <c r="B36" s="70"/>
      <c r="C36" s="69"/>
      <c r="E36" s="70"/>
      <c r="F36" s="69"/>
      <c r="BC36" s="19"/>
      <c r="BD36" s="19"/>
      <c r="BE36" s="19"/>
      <c r="BF36" s="19"/>
    </row>
    <row r="37" spans="2:58" s="23" customFormat="1" ht="26" x14ac:dyDescent="0.3">
      <c r="B37" s="70"/>
      <c r="C37" s="69"/>
      <c r="E37" s="70"/>
      <c r="F37" s="69"/>
      <c r="BC37" s="19"/>
      <c r="BD37" s="19"/>
      <c r="BE37" s="19"/>
      <c r="BF37" s="19"/>
    </row>
    <row r="38" spans="2:58" s="23" customFormat="1" ht="26" x14ac:dyDescent="0.3">
      <c r="B38" s="70"/>
      <c r="C38" s="69"/>
      <c r="E38" s="70"/>
      <c r="F38" s="69"/>
      <c r="BC38" s="19"/>
      <c r="BD38" s="19"/>
      <c r="BE38" s="19"/>
      <c r="BF38" s="19"/>
    </row>
    <row r="39" spans="2:58" s="23" customFormat="1" ht="26" x14ac:dyDescent="0.3">
      <c r="B39" s="70"/>
      <c r="C39" s="69"/>
      <c r="E39" s="70"/>
      <c r="F39" s="69"/>
      <c r="BC39" s="19"/>
      <c r="BD39" s="19"/>
      <c r="BE39" s="19"/>
      <c r="BF39" s="19"/>
    </row>
    <row r="40" spans="2:58" s="23" customFormat="1" ht="26" x14ac:dyDescent="0.3">
      <c r="B40" s="70"/>
      <c r="C40" s="69"/>
      <c r="E40" s="70"/>
      <c r="F40" s="69"/>
      <c r="BC40" s="19"/>
      <c r="BD40" s="19"/>
      <c r="BE40" s="19"/>
      <c r="BF40" s="19"/>
    </row>
    <row r="41" spans="2:58" s="23" customFormat="1" ht="26" x14ac:dyDescent="0.3">
      <c r="B41" s="70"/>
      <c r="C41" s="69"/>
      <c r="E41" s="70"/>
      <c r="F41" s="69"/>
      <c r="BC41" s="19"/>
      <c r="BD41" s="19"/>
      <c r="BE41" s="19"/>
      <c r="BF41" s="19"/>
    </row>
    <row r="42" spans="2:58" s="23" customFormat="1" ht="26" x14ac:dyDescent="0.3">
      <c r="B42" s="70"/>
      <c r="C42" s="69"/>
      <c r="E42" s="70"/>
      <c r="F42" s="69"/>
      <c r="BC42" s="19"/>
      <c r="BD42" s="19"/>
      <c r="BE42" s="19"/>
      <c r="BF42" s="19"/>
    </row>
    <row r="43" spans="2:58" s="23" customFormat="1" ht="26" x14ac:dyDescent="0.3">
      <c r="B43" s="70"/>
      <c r="C43" s="69"/>
      <c r="E43" s="70"/>
      <c r="F43" s="69"/>
      <c r="BC43" s="19"/>
      <c r="BD43" s="19"/>
      <c r="BE43" s="19"/>
      <c r="BF43" s="19"/>
    </row>
    <row r="44" spans="2:58" s="23" customFormat="1" ht="26" x14ac:dyDescent="0.3">
      <c r="B44" s="70"/>
      <c r="C44" s="69"/>
      <c r="E44" s="70"/>
      <c r="F44" s="69"/>
      <c r="BC44" s="19"/>
      <c r="BD44" s="19"/>
      <c r="BE44" s="19"/>
      <c r="BF44" s="19"/>
    </row>
    <row r="45" spans="2:58" s="23" customFormat="1" ht="26" x14ac:dyDescent="0.3">
      <c r="B45" s="70"/>
      <c r="C45" s="69"/>
      <c r="E45" s="70"/>
      <c r="F45" s="69"/>
      <c r="BC45" s="19"/>
      <c r="BD45" s="19"/>
      <c r="BE45" s="19"/>
      <c r="BF45" s="19"/>
    </row>
    <row r="46" spans="2:58" s="23" customFormat="1" ht="26" x14ac:dyDescent="0.3">
      <c r="B46" s="70"/>
      <c r="C46" s="69"/>
      <c r="E46" s="70"/>
      <c r="F46" s="69"/>
      <c r="BC46" s="19"/>
      <c r="BD46" s="19"/>
      <c r="BE46" s="19"/>
      <c r="BF46" s="19"/>
    </row>
    <row r="47" spans="2:58" s="23" customFormat="1" ht="26" x14ac:dyDescent="0.3">
      <c r="B47" s="70"/>
      <c r="C47" s="69"/>
      <c r="E47" s="70"/>
      <c r="F47" s="69"/>
      <c r="BC47" s="19"/>
      <c r="BD47" s="19"/>
      <c r="BE47" s="19"/>
      <c r="BF47" s="19"/>
    </row>
    <row r="48" spans="2:58" s="23" customFormat="1" ht="26" x14ac:dyDescent="0.3">
      <c r="B48" s="70"/>
      <c r="C48" s="69"/>
      <c r="E48" s="70"/>
      <c r="F48" s="69"/>
      <c r="BC48" s="19"/>
      <c r="BD48" s="19"/>
      <c r="BE48" s="19"/>
      <c r="BF48" s="19"/>
    </row>
    <row r="49" spans="2:58" s="23" customFormat="1" ht="26" x14ac:dyDescent="0.3">
      <c r="B49" s="70"/>
      <c r="C49" s="69"/>
      <c r="E49" s="70"/>
      <c r="F49" s="69"/>
      <c r="BC49" s="19"/>
      <c r="BD49" s="19"/>
      <c r="BE49" s="19"/>
      <c r="BF49" s="19"/>
    </row>
    <row r="50" spans="2:58" s="23" customFormat="1" ht="26" x14ac:dyDescent="0.3">
      <c r="B50" s="70"/>
      <c r="C50" s="69"/>
      <c r="E50" s="70"/>
      <c r="F50" s="69"/>
      <c r="BC50" s="19"/>
      <c r="BD50" s="19"/>
      <c r="BE50" s="19"/>
      <c r="BF50" s="19"/>
    </row>
    <row r="51" spans="2:58" s="23" customFormat="1" ht="26" x14ac:dyDescent="0.3">
      <c r="B51" s="70"/>
      <c r="C51" s="69"/>
      <c r="E51" s="70"/>
      <c r="F51" s="69"/>
      <c r="BC51" s="19"/>
      <c r="BD51" s="19"/>
      <c r="BE51" s="19"/>
      <c r="BF51" s="19"/>
    </row>
    <row r="52" spans="2:58" s="23" customFormat="1" ht="26" x14ac:dyDescent="0.3">
      <c r="B52" s="70"/>
      <c r="C52" s="69"/>
      <c r="E52" s="70"/>
      <c r="F52" s="69"/>
      <c r="BC52" s="19"/>
      <c r="BD52" s="19"/>
      <c r="BE52" s="19"/>
      <c r="BF52" s="19"/>
    </row>
    <row r="53" spans="2:58" s="23" customFormat="1" ht="26" x14ac:dyDescent="0.3">
      <c r="B53" s="70"/>
      <c r="C53" s="69"/>
      <c r="E53" s="70"/>
      <c r="F53" s="69"/>
      <c r="BC53" s="19"/>
      <c r="BD53" s="19"/>
      <c r="BE53" s="19"/>
      <c r="BF53" s="19"/>
    </row>
    <row r="54" spans="2:58" s="23" customFormat="1" ht="26" x14ac:dyDescent="0.3">
      <c r="B54" s="70"/>
      <c r="C54" s="69"/>
      <c r="E54" s="70"/>
      <c r="F54" s="69"/>
      <c r="BC54" s="19"/>
      <c r="BD54" s="19"/>
      <c r="BE54" s="19"/>
      <c r="BF54" s="19"/>
    </row>
    <row r="55" spans="2:58" s="23" customFormat="1" ht="26" x14ac:dyDescent="0.3">
      <c r="B55" s="70"/>
      <c r="C55" s="69"/>
      <c r="E55" s="70"/>
      <c r="F55" s="69"/>
      <c r="BC55" s="19"/>
      <c r="BD55" s="19"/>
      <c r="BE55" s="19"/>
      <c r="BF55" s="19"/>
    </row>
    <row r="56" spans="2:58" s="23" customFormat="1" ht="26" x14ac:dyDescent="0.3">
      <c r="B56" s="70"/>
      <c r="C56" s="69"/>
      <c r="E56" s="70"/>
      <c r="F56" s="69"/>
      <c r="BC56" s="19"/>
      <c r="BD56" s="19"/>
      <c r="BE56" s="19"/>
      <c r="BF56" s="19"/>
    </row>
    <row r="57" spans="2:58" s="23" customFormat="1" ht="26" x14ac:dyDescent="0.3">
      <c r="B57" s="70"/>
      <c r="C57" s="69"/>
      <c r="E57" s="70"/>
      <c r="F57" s="69"/>
      <c r="BC57" s="19"/>
      <c r="BD57" s="19"/>
      <c r="BE57" s="19"/>
      <c r="BF57" s="19"/>
    </row>
    <row r="58" spans="2:58" s="23" customFormat="1" ht="26" x14ac:dyDescent="0.3">
      <c r="B58" s="70"/>
      <c r="C58" s="69"/>
      <c r="E58" s="70"/>
      <c r="F58" s="69"/>
      <c r="BC58" s="19"/>
      <c r="BD58" s="19"/>
      <c r="BE58" s="19"/>
      <c r="BF58" s="19"/>
    </row>
    <row r="59" spans="2:58" s="23" customFormat="1" ht="26" x14ac:dyDescent="0.3">
      <c r="B59" s="70"/>
      <c r="C59" s="69"/>
      <c r="E59" s="70"/>
      <c r="F59" s="69"/>
      <c r="BC59" s="19"/>
      <c r="BD59" s="19"/>
      <c r="BE59" s="19"/>
      <c r="BF59" s="19"/>
    </row>
    <row r="60" spans="2:58" s="23" customFormat="1" ht="26" x14ac:dyDescent="0.3">
      <c r="B60" s="70"/>
      <c r="C60" s="69"/>
      <c r="E60" s="70"/>
      <c r="F60" s="69"/>
      <c r="BC60" s="19"/>
      <c r="BD60" s="19"/>
      <c r="BE60" s="19"/>
      <c r="BF60" s="19"/>
    </row>
    <row r="61" spans="2:58" s="23" customFormat="1" ht="26" x14ac:dyDescent="0.3">
      <c r="B61" s="70"/>
      <c r="C61" s="69"/>
      <c r="E61" s="70"/>
      <c r="F61" s="69"/>
      <c r="BC61" s="19"/>
      <c r="BD61" s="19"/>
      <c r="BE61" s="19"/>
      <c r="BF61" s="19"/>
    </row>
    <row r="62" spans="2:58" s="23" customFormat="1" ht="26" x14ac:dyDescent="0.3">
      <c r="B62" s="70"/>
      <c r="C62" s="69"/>
      <c r="E62" s="70"/>
      <c r="F62" s="69"/>
      <c r="BC62" s="19"/>
      <c r="BD62" s="19"/>
      <c r="BE62" s="19"/>
      <c r="BF62" s="19"/>
    </row>
    <row r="63" spans="2:58" s="23" customFormat="1" ht="26" x14ac:dyDescent="0.3">
      <c r="B63" s="70"/>
      <c r="C63" s="69"/>
      <c r="E63" s="70"/>
      <c r="F63" s="69"/>
      <c r="BC63" s="19"/>
      <c r="BD63" s="19"/>
      <c r="BE63" s="19"/>
      <c r="BF63" s="19"/>
    </row>
    <row r="64" spans="2:58" s="23" customFormat="1" ht="26" x14ac:dyDescent="0.3">
      <c r="B64" s="70"/>
      <c r="C64" s="69"/>
      <c r="E64" s="70"/>
      <c r="F64" s="69"/>
      <c r="BC64" s="19"/>
      <c r="BD64" s="19"/>
      <c r="BE64" s="19"/>
      <c r="BF64" s="19"/>
    </row>
    <row r="65" spans="2:58" s="23" customFormat="1" ht="26" x14ac:dyDescent="0.3">
      <c r="B65" s="70"/>
      <c r="C65" s="69"/>
      <c r="E65" s="70"/>
      <c r="F65" s="69"/>
      <c r="BC65" s="19"/>
      <c r="BD65" s="19"/>
      <c r="BE65" s="19"/>
      <c r="BF65" s="19"/>
    </row>
    <row r="66" spans="2:58" s="23" customFormat="1" ht="26" x14ac:dyDescent="0.3">
      <c r="B66" s="70"/>
      <c r="C66" s="69"/>
      <c r="E66" s="70"/>
      <c r="F66" s="69"/>
      <c r="BC66" s="19"/>
      <c r="BD66" s="19"/>
      <c r="BE66" s="19"/>
      <c r="BF66" s="19"/>
    </row>
    <row r="67" spans="2:58" s="23" customFormat="1" ht="26" x14ac:dyDescent="0.3">
      <c r="B67" s="70"/>
      <c r="C67" s="69"/>
      <c r="E67" s="70"/>
      <c r="F67" s="69"/>
      <c r="BC67" s="19"/>
      <c r="BD67" s="19"/>
      <c r="BE67" s="19"/>
      <c r="BF67" s="19"/>
    </row>
    <row r="68" spans="2:58" s="23" customFormat="1" ht="26" x14ac:dyDescent="0.3">
      <c r="B68" s="70"/>
      <c r="C68" s="69"/>
      <c r="E68" s="70"/>
      <c r="F68" s="69"/>
      <c r="BC68" s="19"/>
      <c r="BD68" s="19"/>
      <c r="BE68" s="19"/>
      <c r="BF68" s="19"/>
    </row>
    <row r="69" spans="2:58" s="23" customFormat="1" ht="26" x14ac:dyDescent="0.3">
      <c r="B69" s="70"/>
      <c r="C69" s="69"/>
      <c r="E69" s="70"/>
      <c r="F69" s="69"/>
      <c r="BC69" s="19"/>
      <c r="BD69" s="19"/>
      <c r="BE69" s="19"/>
      <c r="BF69" s="19"/>
    </row>
    <row r="70" spans="2:58" s="23" customFormat="1" ht="26" x14ac:dyDescent="0.3">
      <c r="B70" s="70"/>
      <c r="C70" s="69"/>
      <c r="E70" s="70"/>
      <c r="F70" s="69"/>
      <c r="BC70" s="19"/>
      <c r="BD70" s="19"/>
      <c r="BE70" s="19"/>
      <c r="BF70" s="19"/>
    </row>
    <row r="71" spans="2:58" s="23" customFormat="1" ht="26" x14ac:dyDescent="0.3">
      <c r="B71" s="70"/>
      <c r="C71" s="69"/>
      <c r="E71" s="70"/>
      <c r="F71" s="69"/>
      <c r="BC71" s="19"/>
      <c r="BD71" s="19"/>
      <c r="BE71" s="19"/>
      <c r="BF71" s="19"/>
    </row>
    <row r="72" spans="2:58" s="23" customFormat="1" ht="26" x14ac:dyDescent="0.3">
      <c r="B72" s="70"/>
      <c r="C72" s="69"/>
      <c r="E72" s="70"/>
      <c r="F72" s="69"/>
      <c r="BC72" s="19"/>
      <c r="BD72" s="19"/>
      <c r="BE72" s="19"/>
      <c r="BF72" s="19"/>
    </row>
    <row r="73" spans="2:58" s="23" customFormat="1" ht="26" x14ac:dyDescent="0.3">
      <c r="B73" s="70"/>
      <c r="C73" s="69"/>
      <c r="E73" s="70"/>
      <c r="F73" s="69"/>
      <c r="BC73" s="19"/>
      <c r="BD73" s="19"/>
      <c r="BE73" s="19"/>
      <c r="BF73" s="19"/>
    </row>
    <row r="74" spans="2:58" s="23" customFormat="1" ht="26" x14ac:dyDescent="0.3">
      <c r="B74" s="70"/>
      <c r="C74" s="69"/>
      <c r="E74" s="70"/>
      <c r="F74" s="69"/>
      <c r="BC74" s="19"/>
      <c r="BD74" s="19"/>
      <c r="BE74" s="19"/>
      <c r="BF74" s="19"/>
    </row>
    <row r="75" spans="2:58" s="23" customFormat="1" ht="26" x14ac:dyDescent="0.3">
      <c r="B75" s="70"/>
      <c r="C75" s="69"/>
      <c r="E75" s="70"/>
      <c r="F75" s="69"/>
      <c r="BC75" s="19"/>
      <c r="BD75" s="19"/>
      <c r="BE75" s="19"/>
      <c r="BF75" s="19"/>
    </row>
    <row r="76" spans="2:58" s="23" customFormat="1" ht="26" x14ac:dyDescent="0.3">
      <c r="B76" s="70"/>
      <c r="C76" s="69"/>
      <c r="E76" s="70"/>
      <c r="F76" s="69"/>
      <c r="BC76" s="19"/>
      <c r="BD76" s="19"/>
      <c r="BE76" s="19"/>
      <c r="BF76" s="19"/>
    </row>
    <row r="77" spans="2:58" s="23" customFormat="1" ht="26" x14ac:dyDescent="0.3">
      <c r="B77" s="70"/>
      <c r="C77" s="69"/>
      <c r="E77" s="70"/>
      <c r="F77" s="69"/>
      <c r="BC77" s="19"/>
      <c r="BD77" s="19"/>
      <c r="BE77" s="19"/>
      <c r="BF77" s="19"/>
    </row>
    <row r="78" spans="2:58" s="23" customFormat="1" ht="26" x14ac:dyDescent="0.3">
      <c r="B78" s="70"/>
      <c r="C78" s="69"/>
      <c r="E78" s="70"/>
      <c r="F78" s="69"/>
      <c r="BC78" s="19"/>
      <c r="BD78" s="19"/>
      <c r="BE78" s="19"/>
      <c r="BF78" s="19"/>
    </row>
    <row r="79" spans="2:58" s="23" customFormat="1" ht="26" x14ac:dyDescent="0.3">
      <c r="B79" s="70"/>
      <c r="C79" s="69"/>
      <c r="E79" s="70"/>
      <c r="F79" s="69"/>
      <c r="BC79" s="19"/>
      <c r="BD79" s="19"/>
      <c r="BE79" s="19"/>
      <c r="BF79" s="19"/>
    </row>
    <row r="80" spans="2:58" s="23" customFormat="1" ht="26" x14ac:dyDescent="0.3">
      <c r="B80" s="70"/>
      <c r="C80" s="69"/>
      <c r="E80" s="70"/>
      <c r="F80" s="69"/>
      <c r="BC80" s="19"/>
      <c r="BD80" s="19"/>
      <c r="BE80" s="19"/>
      <c r="BF80" s="19"/>
    </row>
    <row r="81" spans="2:58" s="23" customFormat="1" ht="26" x14ac:dyDescent="0.3">
      <c r="B81" s="67"/>
      <c r="C81" s="68"/>
      <c r="E81" s="67"/>
      <c r="F81" s="68"/>
      <c r="BC81" s="19"/>
      <c r="BD81" s="19"/>
      <c r="BE81" s="19"/>
      <c r="BF81" s="19"/>
    </row>
    <row r="82" spans="2:58" s="23" customFormat="1" ht="26" x14ac:dyDescent="0.3">
      <c r="B82" s="67"/>
      <c r="C82" s="68"/>
      <c r="E82" s="67"/>
      <c r="F82" s="68"/>
      <c r="BC82" s="19"/>
      <c r="BD82" s="19"/>
      <c r="BE82" s="19"/>
      <c r="BF82" s="19"/>
    </row>
    <row r="83" spans="2:58" s="23" customFormat="1" ht="26" x14ac:dyDescent="0.3">
      <c r="B83" s="67"/>
      <c r="C83" s="68"/>
      <c r="E83" s="67"/>
      <c r="F83" s="68"/>
      <c r="BC83" s="19"/>
      <c r="BD83" s="19"/>
      <c r="BE83" s="19"/>
      <c r="BF83" s="19"/>
    </row>
    <row r="84" spans="2:58" s="23" customFormat="1" ht="26" x14ac:dyDescent="0.3">
      <c r="B84" s="67"/>
      <c r="C84" s="68"/>
      <c r="E84" s="67"/>
      <c r="F84" s="68"/>
      <c r="BC84" s="19"/>
      <c r="BD84" s="19"/>
      <c r="BE84" s="19"/>
      <c r="BF84" s="19"/>
    </row>
    <row r="85" spans="2:58" s="23" customFormat="1" ht="26" x14ac:dyDescent="0.3">
      <c r="B85" s="67"/>
      <c r="C85" s="68"/>
      <c r="E85" s="67"/>
      <c r="F85" s="68"/>
      <c r="BC85" s="19"/>
      <c r="BD85" s="19"/>
      <c r="BE85" s="19"/>
      <c r="BF85" s="19"/>
    </row>
    <row r="86" spans="2:58" s="23" customFormat="1" ht="26" x14ac:dyDescent="0.3">
      <c r="B86" s="67"/>
      <c r="C86" s="68"/>
      <c r="E86" s="67"/>
      <c r="F86" s="68"/>
      <c r="BC86" s="19"/>
      <c r="BD86" s="19"/>
      <c r="BE86" s="19"/>
      <c r="BF86" s="19"/>
    </row>
    <row r="87" spans="2:58" s="23" customFormat="1" ht="26" x14ac:dyDescent="0.3">
      <c r="B87" s="67"/>
      <c r="C87" s="68"/>
      <c r="E87" s="67"/>
      <c r="F87" s="68"/>
      <c r="BC87" s="19"/>
      <c r="BD87" s="19"/>
      <c r="BE87" s="19"/>
      <c r="BF87" s="19"/>
    </row>
    <row r="88" spans="2:58" s="23" customFormat="1" ht="26" x14ac:dyDescent="0.3">
      <c r="B88" s="67"/>
      <c r="C88" s="68"/>
      <c r="E88" s="67"/>
      <c r="F88" s="68"/>
      <c r="BC88" s="19"/>
      <c r="BD88" s="19"/>
      <c r="BE88" s="19"/>
      <c r="BF88" s="19"/>
    </row>
    <row r="89" spans="2:58" s="23" customFormat="1" ht="26" x14ac:dyDescent="0.3">
      <c r="B89" s="67"/>
      <c r="C89" s="68"/>
      <c r="E89" s="67"/>
      <c r="F89" s="68"/>
      <c r="BC89" s="19"/>
      <c r="BD89" s="19"/>
      <c r="BE89" s="19"/>
      <c r="BF89" s="19"/>
    </row>
    <row r="90" spans="2:58" s="23" customFormat="1" ht="26" x14ac:dyDescent="0.3">
      <c r="B90" s="67"/>
      <c r="C90" s="68"/>
      <c r="E90" s="67"/>
      <c r="F90" s="68"/>
      <c r="BC90" s="19"/>
      <c r="BD90" s="19"/>
      <c r="BE90" s="19"/>
      <c r="BF90" s="19"/>
    </row>
    <row r="91" spans="2:58" s="23" customFormat="1" ht="26" x14ac:dyDescent="0.3">
      <c r="B91" s="67"/>
      <c r="C91" s="68"/>
      <c r="E91" s="67"/>
      <c r="F91" s="68"/>
      <c r="BC91" s="19"/>
      <c r="BD91" s="19"/>
      <c r="BE91" s="19"/>
      <c r="BF91" s="19"/>
    </row>
    <row r="92" spans="2:58" s="23" customFormat="1" ht="26" x14ac:dyDescent="0.3">
      <c r="B92" s="67"/>
      <c r="C92" s="68"/>
      <c r="E92" s="67"/>
      <c r="F92" s="68"/>
      <c r="BC92" s="19"/>
      <c r="BD92" s="19"/>
      <c r="BE92" s="19"/>
      <c r="BF92" s="19"/>
    </row>
    <row r="93" spans="2:58" s="23" customFormat="1" ht="26" x14ac:dyDescent="0.3">
      <c r="B93" s="67"/>
      <c r="C93" s="68"/>
      <c r="E93" s="67"/>
      <c r="F93" s="68"/>
      <c r="BC93" s="19"/>
      <c r="BD93" s="19"/>
      <c r="BE93" s="19"/>
      <c r="BF93" s="19"/>
    </row>
    <row r="94" spans="2:58" s="23" customFormat="1" ht="26" x14ac:dyDescent="0.3">
      <c r="B94" s="67"/>
      <c r="C94" s="68"/>
      <c r="E94" s="67"/>
      <c r="F94" s="68"/>
      <c r="BC94" s="19"/>
      <c r="BD94" s="19"/>
      <c r="BE94" s="19"/>
      <c r="BF94" s="19"/>
    </row>
    <row r="95" spans="2:58" s="23" customFormat="1" ht="26" x14ac:dyDescent="0.3">
      <c r="B95" s="67"/>
      <c r="C95" s="68"/>
      <c r="E95" s="67"/>
      <c r="F95" s="68"/>
      <c r="BC95" s="19"/>
      <c r="BD95" s="19"/>
      <c r="BE95" s="19"/>
      <c r="BF95" s="19"/>
    </row>
    <row r="96" spans="2:58" s="23" customFormat="1" ht="26" x14ac:dyDescent="0.3">
      <c r="B96" s="67"/>
      <c r="C96" s="68"/>
      <c r="E96" s="67"/>
      <c r="F96" s="68"/>
      <c r="BC96" s="19"/>
      <c r="BD96" s="19"/>
      <c r="BE96" s="19"/>
      <c r="BF96" s="19"/>
    </row>
    <row r="97" spans="2:58" s="23" customFormat="1" ht="26" x14ac:dyDescent="0.3">
      <c r="B97" s="67"/>
      <c r="C97" s="68"/>
      <c r="E97" s="67"/>
      <c r="F97" s="68"/>
      <c r="BC97" s="19"/>
      <c r="BD97" s="19"/>
      <c r="BE97" s="19"/>
      <c r="BF97" s="19"/>
    </row>
    <row r="98" spans="2:58" s="23" customFormat="1" ht="26" x14ac:dyDescent="0.3">
      <c r="B98" s="67"/>
      <c r="C98" s="68"/>
      <c r="E98" s="67"/>
      <c r="F98" s="68"/>
      <c r="BC98" s="19"/>
      <c r="BD98" s="19"/>
      <c r="BE98" s="19"/>
      <c r="BF98" s="19"/>
    </row>
    <row r="99" spans="2:58" s="23" customFormat="1" ht="26" x14ac:dyDescent="0.3">
      <c r="B99" s="67"/>
      <c r="C99" s="68"/>
      <c r="E99" s="67"/>
      <c r="F99" s="68"/>
      <c r="BC99" s="19"/>
      <c r="BD99" s="19"/>
      <c r="BE99" s="19"/>
      <c r="BF99" s="19"/>
    </row>
    <row r="100" spans="2:58" s="23" customFormat="1" ht="26" x14ac:dyDescent="0.3">
      <c r="B100" s="67"/>
      <c r="C100" s="68"/>
      <c r="E100" s="67"/>
      <c r="F100" s="68"/>
      <c r="BC100" s="19"/>
      <c r="BD100" s="19"/>
      <c r="BE100" s="19"/>
      <c r="BF100" s="19"/>
    </row>
    <row r="101" spans="2:58" s="23" customFormat="1" ht="26" x14ac:dyDescent="0.3">
      <c r="B101" s="67"/>
      <c r="C101" s="68"/>
      <c r="E101" s="67"/>
      <c r="F101" s="68"/>
      <c r="BC101" s="19"/>
      <c r="BD101" s="19"/>
      <c r="BE101" s="19"/>
      <c r="BF101" s="19"/>
    </row>
    <row r="102" spans="2:58" s="23" customFormat="1" ht="26" x14ac:dyDescent="0.3">
      <c r="B102" s="67"/>
      <c r="C102" s="68"/>
      <c r="E102" s="67"/>
      <c r="F102" s="68"/>
      <c r="BC102" s="19"/>
      <c r="BD102" s="19"/>
      <c r="BE102" s="19"/>
      <c r="BF102" s="19"/>
    </row>
    <row r="103" spans="2:58" s="23" customFormat="1" ht="26" x14ac:dyDescent="0.3">
      <c r="B103" s="67"/>
      <c r="C103" s="68"/>
      <c r="E103" s="67"/>
      <c r="F103" s="68"/>
      <c r="BC103" s="19"/>
      <c r="BD103" s="19"/>
      <c r="BE103" s="19"/>
      <c r="BF103" s="19"/>
    </row>
    <row r="104" spans="2:58" s="23" customFormat="1" ht="26" x14ac:dyDescent="0.3">
      <c r="B104" s="67"/>
      <c r="C104" s="68"/>
      <c r="E104" s="67"/>
      <c r="F104" s="68"/>
      <c r="BC104" s="19"/>
      <c r="BD104" s="19"/>
      <c r="BE104" s="19"/>
      <c r="BF104" s="19"/>
    </row>
    <row r="105" spans="2:58" s="23" customFormat="1" ht="26" x14ac:dyDescent="0.3">
      <c r="B105" s="67"/>
      <c r="C105" s="68"/>
      <c r="E105" s="67"/>
      <c r="F105" s="68"/>
      <c r="BC105" s="19"/>
      <c r="BD105" s="19"/>
      <c r="BE105" s="19"/>
      <c r="BF105" s="19"/>
    </row>
    <row r="106" spans="2:58" s="23" customFormat="1" ht="26" x14ac:dyDescent="0.3">
      <c r="B106" s="67"/>
      <c r="C106" s="68"/>
      <c r="E106" s="67"/>
      <c r="F106" s="68"/>
      <c r="BC106" s="19"/>
      <c r="BD106" s="19"/>
      <c r="BE106" s="19"/>
      <c r="BF106" s="19"/>
    </row>
    <row r="107" spans="2:58" s="23" customFormat="1" ht="26" x14ac:dyDescent="0.3">
      <c r="B107" s="67"/>
      <c r="C107" s="68"/>
      <c r="E107" s="67"/>
      <c r="F107" s="68"/>
      <c r="BC107" s="19"/>
      <c r="BD107" s="19"/>
      <c r="BE107" s="19"/>
      <c r="BF107" s="19"/>
    </row>
    <row r="108" spans="2:58" s="23" customFormat="1" ht="26" x14ac:dyDescent="0.3">
      <c r="B108" s="67"/>
      <c r="C108" s="68"/>
      <c r="E108" s="67"/>
      <c r="F108" s="68"/>
      <c r="BC108" s="19"/>
      <c r="BD108" s="19"/>
      <c r="BE108" s="19"/>
      <c r="BF108" s="19"/>
    </row>
    <row r="109" spans="2:58" s="23" customFormat="1" ht="26" x14ac:dyDescent="0.3">
      <c r="B109" s="67"/>
      <c r="C109" s="68"/>
      <c r="E109" s="67"/>
      <c r="F109" s="68"/>
      <c r="BC109" s="19"/>
      <c r="BD109" s="19"/>
      <c r="BE109" s="19"/>
      <c r="BF109" s="19"/>
    </row>
    <row r="110" spans="2:58" s="23" customFormat="1" ht="26" x14ac:dyDescent="0.3">
      <c r="B110" s="67"/>
      <c r="C110" s="68"/>
      <c r="E110" s="67"/>
      <c r="F110" s="68"/>
      <c r="BC110" s="19"/>
      <c r="BD110" s="19"/>
      <c r="BE110" s="19"/>
      <c r="BF110" s="19"/>
    </row>
    <row r="111" spans="2:58" s="23" customFormat="1" ht="26" x14ac:dyDescent="0.3">
      <c r="B111" s="67"/>
      <c r="C111" s="68"/>
      <c r="E111" s="67"/>
      <c r="F111" s="68"/>
      <c r="BC111" s="19"/>
      <c r="BD111" s="19"/>
      <c r="BE111" s="19"/>
      <c r="BF111" s="19"/>
    </row>
    <row r="112" spans="2:58" s="23" customFormat="1" ht="26" x14ac:dyDescent="0.3">
      <c r="B112" s="67"/>
      <c r="C112" s="68"/>
      <c r="E112" s="67"/>
      <c r="F112" s="68"/>
      <c r="BC112" s="19"/>
      <c r="BD112" s="19"/>
      <c r="BE112" s="19"/>
      <c r="BF112" s="19"/>
    </row>
    <row r="113" spans="2:58" s="23" customFormat="1" ht="26" x14ac:dyDescent="0.3">
      <c r="B113" s="67"/>
      <c r="C113" s="68"/>
      <c r="E113" s="67"/>
      <c r="F113" s="68"/>
      <c r="BC113" s="19"/>
      <c r="BD113" s="19"/>
      <c r="BE113" s="19"/>
      <c r="BF113" s="19"/>
    </row>
    <row r="114" spans="2:58" s="23" customFormat="1" ht="26" x14ac:dyDescent="0.3">
      <c r="B114" s="67"/>
      <c r="C114" s="68"/>
      <c r="E114" s="67"/>
      <c r="F114" s="68"/>
      <c r="BC114" s="19"/>
      <c r="BD114" s="19"/>
      <c r="BE114" s="19"/>
      <c r="BF114" s="19"/>
    </row>
    <row r="115" spans="2:58" s="23" customFormat="1" ht="26" x14ac:dyDescent="0.3">
      <c r="B115" s="67"/>
      <c r="C115" s="68"/>
      <c r="E115" s="67"/>
      <c r="F115" s="68"/>
      <c r="BC115" s="19"/>
      <c r="BD115" s="19"/>
      <c r="BE115" s="19"/>
      <c r="BF115" s="19"/>
    </row>
    <row r="116" spans="2:58" s="23" customFormat="1" ht="26" x14ac:dyDescent="0.3">
      <c r="B116" s="67"/>
      <c r="C116" s="68"/>
      <c r="E116" s="67"/>
      <c r="F116" s="68"/>
      <c r="BC116" s="19"/>
      <c r="BD116" s="19"/>
      <c r="BE116" s="19"/>
      <c r="BF116" s="19"/>
    </row>
    <row r="117" spans="2:58" s="23" customFormat="1" ht="26" x14ac:dyDescent="0.3">
      <c r="B117" s="67"/>
      <c r="C117" s="68"/>
      <c r="E117" s="67"/>
      <c r="F117" s="68"/>
      <c r="BC117" s="19"/>
      <c r="BD117" s="19"/>
      <c r="BE117" s="19"/>
      <c r="BF117" s="19"/>
    </row>
    <row r="118" spans="2:58" s="23" customFormat="1" ht="26" x14ac:dyDescent="0.3">
      <c r="B118" s="67"/>
      <c r="C118" s="68"/>
      <c r="E118" s="67"/>
      <c r="F118" s="68"/>
      <c r="BC118" s="19"/>
      <c r="BD118" s="19"/>
      <c r="BE118" s="19"/>
      <c r="BF118" s="19"/>
    </row>
    <row r="119" spans="2:58" s="23" customFormat="1" ht="26" x14ac:dyDescent="0.3">
      <c r="B119" s="67"/>
      <c r="C119" s="68"/>
      <c r="E119" s="67"/>
      <c r="F119" s="68"/>
      <c r="BC119" s="19"/>
      <c r="BD119" s="19"/>
      <c r="BE119" s="19"/>
      <c r="BF119" s="19"/>
    </row>
    <row r="120" spans="2:58" s="23" customFormat="1" ht="26" x14ac:dyDescent="0.3">
      <c r="B120" s="67"/>
      <c r="C120" s="68"/>
      <c r="E120" s="67"/>
      <c r="F120" s="68"/>
      <c r="BC120" s="19"/>
      <c r="BD120" s="19"/>
      <c r="BE120" s="19"/>
      <c r="BF120" s="19"/>
    </row>
    <row r="121" spans="2:58" s="23" customFormat="1" ht="26" x14ac:dyDescent="0.3">
      <c r="B121" s="67"/>
      <c r="C121" s="68"/>
      <c r="E121" s="67"/>
      <c r="F121" s="68"/>
      <c r="BC121" s="19"/>
      <c r="BD121" s="19"/>
      <c r="BE121" s="19"/>
      <c r="BF121" s="19"/>
    </row>
    <row r="122" spans="2:58" s="23" customFormat="1" ht="26" x14ac:dyDescent="0.3">
      <c r="B122" s="67"/>
      <c r="C122" s="68"/>
      <c r="E122" s="67"/>
      <c r="F122" s="68"/>
      <c r="BC122" s="19"/>
      <c r="BD122" s="19"/>
      <c r="BE122" s="19"/>
      <c r="BF122" s="19"/>
    </row>
    <row r="123" spans="2:58" s="23" customFormat="1" ht="26" x14ac:dyDescent="0.3">
      <c r="B123" s="67"/>
      <c r="C123" s="68"/>
      <c r="E123" s="67"/>
      <c r="F123" s="68"/>
      <c r="BC123" s="19"/>
      <c r="BD123" s="19"/>
      <c r="BE123" s="19"/>
      <c r="BF123" s="19"/>
    </row>
    <row r="124" spans="2:58" s="23" customFormat="1" ht="26" x14ac:dyDescent="0.3">
      <c r="B124" s="67"/>
      <c r="C124" s="68"/>
      <c r="E124" s="67"/>
      <c r="F124" s="68"/>
      <c r="BC124" s="19"/>
      <c r="BD124" s="19"/>
      <c r="BE124" s="19"/>
      <c r="BF124" s="19"/>
    </row>
    <row r="125" spans="2:58" s="23" customFormat="1" ht="26" x14ac:dyDescent="0.3">
      <c r="B125" s="67"/>
      <c r="C125" s="68"/>
      <c r="E125" s="67"/>
      <c r="F125" s="68"/>
      <c r="BC125" s="19"/>
      <c r="BD125" s="19"/>
      <c r="BE125" s="19"/>
      <c r="BF125" s="19"/>
    </row>
    <row r="126" spans="2:58" s="23" customFormat="1" ht="26" x14ac:dyDescent="0.3">
      <c r="B126" s="67"/>
      <c r="C126" s="68"/>
      <c r="E126" s="67"/>
      <c r="F126" s="68"/>
      <c r="BC126" s="19"/>
      <c r="BD126" s="19"/>
      <c r="BE126" s="19"/>
      <c r="BF126" s="19"/>
    </row>
    <row r="127" spans="2:58" s="23" customFormat="1" ht="26" x14ac:dyDescent="0.3">
      <c r="B127" s="67"/>
      <c r="C127" s="68"/>
      <c r="E127" s="67"/>
      <c r="F127" s="68"/>
      <c r="BC127" s="19"/>
      <c r="BD127" s="19"/>
      <c r="BE127" s="19"/>
      <c r="BF127" s="19"/>
    </row>
    <row r="128" spans="2:58" s="23" customFormat="1" ht="26" x14ac:dyDescent="0.3">
      <c r="B128" s="67"/>
      <c r="C128" s="68"/>
      <c r="E128" s="67"/>
      <c r="F128" s="68"/>
      <c r="BC128" s="19"/>
      <c r="BD128" s="19"/>
      <c r="BE128" s="19"/>
      <c r="BF128" s="19"/>
    </row>
    <row r="129" spans="2:58" s="23" customFormat="1" ht="26" x14ac:dyDescent="0.3">
      <c r="B129" s="67"/>
      <c r="C129" s="68"/>
      <c r="E129" s="67"/>
      <c r="F129" s="68"/>
      <c r="BC129" s="19"/>
      <c r="BD129" s="19"/>
      <c r="BE129" s="19"/>
      <c r="BF129" s="19"/>
    </row>
    <row r="130" spans="2:58" s="23" customFormat="1" ht="26" x14ac:dyDescent="0.3">
      <c r="B130" s="67"/>
      <c r="C130" s="68"/>
      <c r="E130" s="67"/>
      <c r="F130" s="68"/>
      <c r="BC130" s="19"/>
      <c r="BD130" s="19"/>
      <c r="BE130" s="19"/>
      <c r="BF130" s="19"/>
    </row>
    <row r="131" spans="2:58" s="23" customFormat="1" ht="26" x14ac:dyDescent="0.3">
      <c r="B131" s="67"/>
      <c r="C131" s="68"/>
      <c r="E131" s="67"/>
      <c r="F131" s="68"/>
      <c r="BC131" s="19"/>
      <c r="BD131" s="19"/>
      <c r="BE131" s="19"/>
      <c r="BF131" s="19"/>
    </row>
    <row r="132" spans="2:58" s="23" customFormat="1" ht="26" x14ac:dyDescent="0.3">
      <c r="B132" s="67"/>
      <c r="C132" s="68"/>
      <c r="E132" s="67"/>
      <c r="F132" s="68"/>
      <c r="BC132" s="19"/>
      <c r="BD132" s="19"/>
      <c r="BE132" s="19"/>
      <c r="BF132" s="19"/>
    </row>
    <row r="133" spans="2:58" s="23" customFormat="1" ht="26" x14ac:dyDescent="0.3">
      <c r="B133" s="67"/>
      <c r="C133" s="68"/>
      <c r="E133" s="67"/>
      <c r="F133" s="68"/>
      <c r="BC133" s="19"/>
      <c r="BD133" s="19"/>
      <c r="BE133" s="19"/>
      <c r="BF133" s="19"/>
    </row>
    <row r="134" spans="2:58" s="23" customFormat="1" ht="26" x14ac:dyDescent="0.3">
      <c r="B134" s="67"/>
      <c r="C134" s="68"/>
      <c r="E134" s="67"/>
      <c r="F134" s="68"/>
      <c r="BC134" s="19"/>
      <c r="BD134" s="19"/>
      <c r="BE134" s="19"/>
      <c r="BF134" s="19"/>
    </row>
    <row r="135" spans="2:58" s="23" customFormat="1" ht="26" x14ac:dyDescent="0.3">
      <c r="B135" s="67"/>
      <c r="C135" s="68"/>
      <c r="E135" s="67"/>
      <c r="F135" s="68"/>
      <c r="BC135" s="19"/>
      <c r="BD135" s="19"/>
      <c r="BE135" s="19"/>
      <c r="BF135" s="19"/>
    </row>
    <row r="136" spans="2:58" s="23" customFormat="1" ht="26" x14ac:dyDescent="0.3">
      <c r="B136" s="67"/>
      <c r="C136" s="68"/>
      <c r="E136" s="67"/>
      <c r="F136" s="68"/>
      <c r="BC136" s="19"/>
      <c r="BD136" s="19"/>
      <c r="BE136" s="19"/>
      <c r="BF136" s="19"/>
    </row>
    <row r="137" spans="2:58" s="23" customFormat="1" ht="26" x14ac:dyDescent="0.3">
      <c r="B137" s="67"/>
      <c r="C137" s="68"/>
      <c r="E137" s="67"/>
      <c r="F137" s="68"/>
      <c r="BC137" s="19"/>
      <c r="BD137" s="19"/>
      <c r="BE137" s="19"/>
      <c r="BF137" s="19"/>
    </row>
    <row r="138" spans="2:58" s="23" customFormat="1" ht="26" x14ac:dyDescent="0.3">
      <c r="B138" s="67"/>
      <c r="C138" s="68"/>
      <c r="E138" s="67"/>
      <c r="F138" s="68"/>
      <c r="BC138" s="19"/>
      <c r="BD138" s="19"/>
      <c r="BE138" s="19"/>
      <c r="BF138" s="19"/>
    </row>
    <row r="139" spans="2:58" s="23" customFormat="1" ht="26" x14ac:dyDescent="0.3">
      <c r="B139" s="67"/>
      <c r="C139" s="68"/>
      <c r="E139" s="67"/>
      <c r="F139" s="68"/>
      <c r="BC139" s="19"/>
      <c r="BD139" s="19"/>
      <c r="BE139" s="19"/>
      <c r="BF139" s="19"/>
    </row>
    <row r="140" spans="2:58" s="23" customFormat="1" ht="26" x14ac:dyDescent="0.3">
      <c r="B140" s="67"/>
      <c r="C140" s="68"/>
      <c r="E140" s="67"/>
      <c r="F140" s="68"/>
      <c r="BC140" s="19"/>
      <c r="BD140" s="19"/>
      <c r="BE140" s="19"/>
      <c r="BF140" s="19"/>
    </row>
    <row r="141" spans="2:58" s="23" customFormat="1" ht="26" x14ac:dyDescent="0.3">
      <c r="B141" s="67"/>
      <c r="C141" s="68"/>
      <c r="E141" s="67"/>
      <c r="F141" s="68"/>
      <c r="BC141" s="19"/>
      <c r="BD141" s="19"/>
      <c r="BE141" s="19"/>
      <c r="BF141" s="19"/>
    </row>
    <row r="142" spans="2:58" s="23" customFormat="1" ht="26" x14ac:dyDescent="0.3">
      <c r="B142" s="67"/>
      <c r="C142" s="68"/>
      <c r="E142" s="67"/>
      <c r="F142" s="68"/>
      <c r="BC142" s="19"/>
      <c r="BD142" s="19"/>
      <c r="BE142" s="19"/>
      <c r="BF142" s="19"/>
    </row>
    <row r="143" spans="2:58" s="23" customFormat="1" ht="26" x14ac:dyDescent="0.3">
      <c r="B143" s="67"/>
      <c r="C143" s="68"/>
      <c r="E143" s="67"/>
      <c r="F143" s="68"/>
      <c r="BC143" s="19"/>
      <c r="BD143" s="19"/>
      <c r="BE143" s="19"/>
      <c r="BF143" s="19"/>
    </row>
    <row r="144" spans="2:58" s="23" customFormat="1" ht="26" x14ac:dyDescent="0.3">
      <c r="B144" s="67"/>
      <c r="C144" s="68"/>
      <c r="E144" s="67"/>
      <c r="F144" s="68"/>
      <c r="BC144" s="19"/>
      <c r="BD144" s="19"/>
      <c r="BE144" s="19"/>
      <c r="BF144" s="19"/>
    </row>
    <row r="145" spans="2:58" s="23" customFormat="1" ht="26" x14ac:dyDescent="0.3">
      <c r="B145" s="67"/>
      <c r="C145" s="68"/>
      <c r="E145" s="67"/>
      <c r="F145" s="68"/>
      <c r="BC145" s="19"/>
      <c r="BD145" s="19"/>
      <c r="BE145" s="19"/>
      <c r="BF145" s="19"/>
    </row>
    <row r="146" spans="2:58" s="23" customFormat="1" ht="26" x14ac:dyDescent="0.3">
      <c r="B146" s="67"/>
      <c r="C146" s="68"/>
      <c r="E146" s="67"/>
      <c r="F146" s="68"/>
      <c r="BC146" s="19"/>
      <c r="BD146" s="19"/>
      <c r="BE146" s="19"/>
      <c r="BF146" s="19"/>
    </row>
    <row r="147" spans="2:58" s="23" customFormat="1" ht="26" x14ac:dyDescent="0.3">
      <c r="B147" s="67"/>
      <c r="C147" s="68"/>
      <c r="E147" s="67"/>
      <c r="F147" s="68"/>
      <c r="BC147" s="19"/>
      <c r="BD147" s="19"/>
      <c r="BE147" s="19"/>
      <c r="BF147" s="19"/>
    </row>
    <row r="148" spans="2:58" s="23" customFormat="1" ht="26" x14ac:dyDescent="0.3">
      <c r="B148" s="67"/>
      <c r="C148" s="68"/>
      <c r="E148" s="67"/>
      <c r="F148" s="68"/>
      <c r="BC148" s="19"/>
      <c r="BD148" s="19"/>
      <c r="BE148" s="19"/>
      <c r="BF148" s="19"/>
    </row>
    <row r="149" spans="2:58" s="23" customFormat="1" ht="26" x14ac:dyDescent="0.3">
      <c r="B149" s="67"/>
      <c r="C149" s="68"/>
      <c r="E149" s="67"/>
      <c r="F149" s="68"/>
      <c r="BC149" s="19"/>
      <c r="BD149" s="19"/>
      <c r="BE149" s="19"/>
      <c r="BF149" s="19"/>
    </row>
    <row r="150" spans="2:58" s="23" customFormat="1" ht="26" x14ac:dyDescent="0.3">
      <c r="B150" s="67"/>
      <c r="C150" s="68"/>
      <c r="E150" s="67"/>
      <c r="F150" s="68"/>
      <c r="BC150" s="19"/>
      <c r="BD150" s="19"/>
      <c r="BE150" s="19"/>
      <c r="BF150" s="19"/>
    </row>
    <row r="151" spans="2:58" s="23" customFormat="1" ht="26" x14ac:dyDescent="0.3">
      <c r="B151" s="67"/>
      <c r="C151" s="68"/>
      <c r="E151" s="67"/>
      <c r="F151" s="68"/>
      <c r="BC151" s="19"/>
      <c r="BD151" s="19"/>
      <c r="BE151" s="19"/>
      <c r="BF151" s="19"/>
    </row>
    <row r="152" spans="2:58" s="23" customFormat="1" ht="26" x14ac:dyDescent="0.3">
      <c r="B152" s="67"/>
      <c r="C152" s="68"/>
      <c r="E152" s="67"/>
      <c r="F152" s="68"/>
      <c r="BC152" s="19"/>
      <c r="BD152" s="19"/>
      <c r="BE152" s="19"/>
      <c r="BF152" s="19"/>
    </row>
    <row r="153" spans="2:58" s="23" customFormat="1" ht="26" x14ac:dyDescent="0.3">
      <c r="B153" s="67"/>
      <c r="C153" s="68"/>
      <c r="E153" s="67"/>
      <c r="F153" s="68"/>
      <c r="BC153" s="19"/>
      <c r="BD153" s="19"/>
      <c r="BE153" s="19"/>
      <c r="BF153" s="19"/>
    </row>
    <row r="154" spans="2:58" s="23" customFormat="1" ht="26" x14ac:dyDescent="0.3">
      <c r="B154" s="67"/>
      <c r="C154" s="68"/>
      <c r="E154" s="67"/>
      <c r="F154" s="68"/>
      <c r="BC154" s="19"/>
      <c r="BD154" s="19"/>
      <c r="BE154" s="19"/>
      <c r="BF154" s="19"/>
    </row>
    <row r="155" spans="2:58" s="23" customFormat="1" ht="26" x14ac:dyDescent="0.3">
      <c r="B155" s="67"/>
      <c r="C155" s="68"/>
      <c r="E155" s="67"/>
      <c r="F155" s="68"/>
      <c r="BC155" s="19"/>
      <c r="BD155" s="19"/>
      <c r="BE155" s="19"/>
      <c r="BF155" s="19"/>
    </row>
    <row r="156" spans="2:58" s="23" customFormat="1" ht="26" x14ac:dyDescent="0.3">
      <c r="B156" s="67"/>
      <c r="C156" s="68"/>
      <c r="E156" s="67"/>
      <c r="F156" s="68"/>
      <c r="BC156" s="19"/>
      <c r="BD156" s="19"/>
      <c r="BE156" s="19"/>
      <c r="BF156" s="19"/>
    </row>
    <row r="157" spans="2:58" s="23" customFormat="1" ht="26" x14ac:dyDescent="0.3">
      <c r="B157" s="67"/>
      <c r="C157" s="68"/>
      <c r="E157" s="67"/>
      <c r="F157" s="68"/>
      <c r="BC157" s="19"/>
      <c r="BD157" s="19"/>
      <c r="BE157" s="19"/>
      <c r="BF157" s="19"/>
    </row>
    <row r="158" spans="2:58" s="23" customFormat="1" ht="26" x14ac:dyDescent="0.3">
      <c r="B158" s="67"/>
      <c r="C158" s="68"/>
      <c r="E158" s="67"/>
      <c r="F158" s="68"/>
      <c r="BC158" s="19"/>
      <c r="BD158" s="19"/>
      <c r="BE158" s="19"/>
      <c r="BF158" s="19"/>
    </row>
    <row r="159" spans="2:58" s="23" customFormat="1" ht="26" x14ac:dyDescent="0.3">
      <c r="B159" s="67"/>
      <c r="C159" s="68"/>
      <c r="E159" s="67"/>
      <c r="F159" s="68"/>
      <c r="BC159" s="19"/>
      <c r="BD159" s="19"/>
      <c r="BE159" s="19"/>
      <c r="BF159" s="19"/>
    </row>
    <row r="160" spans="2:58" s="23" customFormat="1" ht="26" x14ac:dyDescent="0.3">
      <c r="B160" s="67"/>
      <c r="C160" s="68"/>
      <c r="E160" s="67"/>
      <c r="F160" s="68"/>
      <c r="BC160" s="19"/>
      <c r="BD160" s="19"/>
      <c r="BE160" s="19"/>
      <c r="BF160" s="19"/>
    </row>
    <row r="161" spans="2:58" s="23" customFormat="1" ht="26" x14ac:dyDescent="0.3">
      <c r="B161" s="67"/>
      <c r="C161" s="68"/>
      <c r="E161" s="67"/>
      <c r="F161" s="68"/>
      <c r="BC161" s="19"/>
      <c r="BD161" s="19"/>
      <c r="BE161" s="19"/>
      <c r="BF161" s="19"/>
    </row>
    <row r="162" spans="2:58" s="23" customFormat="1" ht="26" x14ac:dyDescent="0.3">
      <c r="B162" s="67"/>
      <c r="C162" s="68"/>
      <c r="E162" s="67"/>
      <c r="F162" s="68"/>
      <c r="BC162" s="19"/>
      <c r="BD162" s="19"/>
      <c r="BE162" s="19"/>
      <c r="BF162" s="19"/>
    </row>
    <row r="163" spans="2:58" s="23" customFormat="1" ht="26" x14ac:dyDescent="0.3">
      <c r="B163" s="67"/>
      <c r="C163" s="68"/>
      <c r="E163" s="67"/>
      <c r="F163" s="68"/>
      <c r="BC163" s="19"/>
      <c r="BD163" s="19"/>
      <c r="BE163" s="19"/>
      <c r="BF163" s="19"/>
    </row>
    <row r="164" spans="2:58" s="23" customFormat="1" ht="26" x14ac:dyDescent="0.3">
      <c r="B164" s="67"/>
      <c r="C164" s="68"/>
      <c r="E164" s="67"/>
      <c r="F164" s="68"/>
      <c r="BC164" s="19"/>
      <c r="BD164" s="19"/>
      <c r="BE164" s="19"/>
      <c r="BF164" s="19"/>
    </row>
    <row r="165" spans="2:58" s="23" customFormat="1" ht="26" x14ac:dyDescent="0.3">
      <c r="B165" s="67"/>
      <c r="C165" s="68"/>
      <c r="E165" s="67"/>
      <c r="F165" s="68"/>
      <c r="BC165" s="19"/>
      <c r="BD165" s="19"/>
      <c r="BE165" s="19"/>
      <c r="BF165" s="19"/>
    </row>
    <row r="166" spans="2:58" s="23" customFormat="1" ht="26" x14ac:dyDescent="0.3">
      <c r="B166" s="67"/>
      <c r="C166" s="68"/>
      <c r="E166" s="67"/>
      <c r="F166" s="68"/>
      <c r="BC166" s="19"/>
      <c r="BD166" s="19"/>
      <c r="BE166" s="19"/>
      <c r="BF166" s="19"/>
    </row>
    <row r="167" spans="2:58" s="23" customFormat="1" ht="26" x14ac:dyDescent="0.3">
      <c r="B167" s="67"/>
      <c r="C167" s="68"/>
      <c r="E167" s="67"/>
      <c r="F167" s="68"/>
      <c r="BC167" s="19"/>
      <c r="BD167" s="19"/>
      <c r="BE167" s="19"/>
      <c r="BF167" s="19"/>
    </row>
    <row r="168" spans="2:58" s="23" customFormat="1" ht="26" x14ac:dyDescent="0.3">
      <c r="B168" s="67"/>
      <c r="C168" s="68"/>
      <c r="E168" s="67"/>
      <c r="F168" s="68"/>
      <c r="BC168" s="19"/>
      <c r="BD168" s="19"/>
      <c r="BE168" s="19"/>
      <c r="BF168" s="19"/>
    </row>
    <row r="169" spans="2:58" s="23" customFormat="1" ht="26" x14ac:dyDescent="0.3">
      <c r="B169" s="67"/>
      <c r="C169" s="68"/>
      <c r="E169" s="67"/>
      <c r="F169" s="68"/>
      <c r="BC169" s="19"/>
      <c r="BD169" s="19"/>
      <c r="BE169" s="19"/>
      <c r="BF169" s="19"/>
    </row>
    <row r="170" spans="2:58" s="23" customFormat="1" ht="26" x14ac:dyDescent="0.3">
      <c r="B170" s="67"/>
      <c r="C170" s="68"/>
      <c r="E170" s="67"/>
      <c r="F170" s="68"/>
      <c r="BC170" s="19"/>
      <c r="BD170" s="19"/>
      <c r="BE170" s="19"/>
      <c r="BF170" s="19"/>
    </row>
    <row r="171" spans="2:58" s="23" customFormat="1" ht="26" x14ac:dyDescent="0.3">
      <c r="B171" s="67"/>
      <c r="C171" s="68"/>
      <c r="E171" s="67"/>
      <c r="F171" s="68"/>
      <c r="BC171" s="19"/>
      <c r="BD171" s="19"/>
      <c r="BE171" s="19"/>
      <c r="BF171" s="19"/>
    </row>
    <row r="172" spans="2:58" s="23" customFormat="1" ht="26" x14ac:dyDescent="0.3">
      <c r="B172" s="67"/>
      <c r="C172" s="68"/>
      <c r="E172" s="67"/>
      <c r="F172" s="68"/>
      <c r="BC172" s="19"/>
      <c r="BD172" s="19"/>
      <c r="BE172" s="19"/>
      <c r="BF172" s="19"/>
    </row>
    <row r="173" spans="2:58" s="23" customFormat="1" ht="26" x14ac:dyDescent="0.3">
      <c r="B173" s="67"/>
      <c r="C173" s="68"/>
      <c r="E173" s="67"/>
      <c r="F173" s="68"/>
      <c r="BC173" s="19"/>
      <c r="BD173" s="19"/>
      <c r="BE173" s="19"/>
      <c r="BF173" s="19"/>
    </row>
    <row r="174" spans="2:58" s="23" customFormat="1" ht="26" x14ac:dyDescent="0.3">
      <c r="B174" s="67"/>
      <c r="C174" s="68"/>
      <c r="E174" s="67"/>
      <c r="F174" s="68"/>
      <c r="BC174" s="19"/>
      <c r="BD174" s="19"/>
      <c r="BE174" s="19"/>
      <c r="BF174" s="19"/>
    </row>
    <row r="175" spans="2:58" s="23" customFormat="1" ht="26" x14ac:dyDescent="0.3">
      <c r="B175" s="67"/>
      <c r="C175" s="68"/>
      <c r="E175" s="67"/>
      <c r="F175" s="68"/>
      <c r="BC175" s="19"/>
      <c r="BD175" s="19"/>
      <c r="BE175" s="19"/>
      <c r="BF175" s="19"/>
    </row>
    <row r="176" spans="2:58" s="23" customFormat="1" ht="26" x14ac:dyDescent="0.3">
      <c r="B176" s="67"/>
      <c r="C176" s="68"/>
      <c r="E176" s="67"/>
      <c r="F176" s="68"/>
      <c r="BC176" s="19"/>
      <c r="BD176" s="19"/>
      <c r="BE176" s="19"/>
      <c r="BF176" s="19"/>
    </row>
    <row r="177" spans="2:58" s="23" customFormat="1" ht="26" x14ac:dyDescent="0.3">
      <c r="B177" s="67"/>
      <c r="C177" s="68"/>
      <c r="E177" s="67"/>
      <c r="F177" s="68"/>
      <c r="BC177" s="19"/>
      <c r="BD177" s="19"/>
      <c r="BE177" s="19"/>
      <c r="BF177" s="19"/>
    </row>
    <row r="178" spans="2:58" s="23" customFormat="1" ht="26" x14ac:dyDescent="0.3">
      <c r="B178" s="67"/>
      <c r="C178" s="68"/>
      <c r="E178" s="67"/>
      <c r="F178" s="68"/>
      <c r="BC178" s="19"/>
      <c r="BD178" s="19"/>
      <c r="BE178" s="19"/>
      <c r="BF178" s="19"/>
    </row>
    <row r="179" spans="2:58" s="23" customFormat="1" ht="26" x14ac:dyDescent="0.3">
      <c r="B179" s="67"/>
      <c r="C179" s="68"/>
      <c r="E179" s="67"/>
      <c r="F179" s="68"/>
      <c r="BC179" s="19"/>
      <c r="BD179" s="19"/>
      <c r="BE179" s="19"/>
      <c r="BF179" s="19"/>
    </row>
    <row r="180" spans="2:58" s="23" customFormat="1" ht="26" x14ac:dyDescent="0.3">
      <c r="B180" s="67"/>
      <c r="C180" s="68"/>
      <c r="E180" s="67"/>
      <c r="F180" s="68"/>
      <c r="BC180" s="19"/>
      <c r="BD180" s="19"/>
      <c r="BE180" s="19"/>
      <c r="BF180" s="19"/>
    </row>
    <row r="181" spans="2:58" s="23" customFormat="1" ht="26" x14ac:dyDescent="0.3">
      <c r="B181" s="67"/>
      <c r="C181" s="68"/>
      <c r="E181" s="67"/>
      <c r="F181" s="68"/>
      <c r="BC181" s="19"/>
      <c r="BD181" s="19"/>
      <c r="BE181" s="19"/>
      <c r="BF181" s="19"/>
    </row>
    <row r="182" spans="2:58" s="23" customFormat="1" ht="26" x14ac:dyDescent="0.3">
      <c r="B182" s="67"/>
      <c r="C182" s="68"/>
      <c r="E182" s="67"/>
      <c r="F182" s="68"/>
      <c r="BC182" s="19"/>
      <c r="BD182" s="19"/>
      <c r="BE182" s="19"/>
      <c r="BF182" s="19"/>
    </row>
    <row r="183" spans="2:58" s="23" customFormat="1" ht="26" x14ac:dyDescent="0.3">
      <c r="B183" s="67"/>
      <c r="C183" s="68"/>
      <c r="E183" s="67"/>
      <c r="F183" s="68"/>
      <c r="BC183" s="19"/>
      <c r="BD183" s="19"/>
      <c r="BE183" s="19"/>
      <c r="BF183" s="19"/>
    </row>
    <row r="184" spans="2:58" s="23" customFormat="1" ht="26" x14ac:dyDescent="0.3">
      <c r="B184" s="67"/>
      <c r="C184" s="68"/>
      <c r="E184" s="67"/>
      <c r="F184" s="68"/>
      <c r="BC184" s="19"/>
      <c r="BD184" s="19"/>
      <c r="BE184" s="19"/>
      <c r="BF184" s="19"/>
    </row>
    <row r="185" spans="2:58" s="23" customFormat="1" ht="26" x14ac:dyDescent="0.3">
      <c r="B185" s="67"/>
      <c r="C185" s="68"/>
      <c r="E185" s="67"/>
      <c r="F185" s="68"/>
      <c r="BC185" s="19"/>
      <c r="BD185" s="19"/>
      <c r="BE185" s="19"/>
      <c r="BF185" s="19"/>
    </row>
    <row r="186" spans="2:58" s="23" customFormat="1" ht="26" x14ac:dyDescent="0.3">
      <c r="B186" s="67"/>
      <c r="C186" s="68"/>
      <c r="E186" s="67"/>
      <c r="F186" s="68"/>
      <c r="BC186" s="19"/>
      <c r="BD186" s="19"/>
      <c r="BE186" s="19"/>
      <c r="BF186" s="19"/>
    </row>
    <row r="187" spans="2:58" s="23" customFormat="1" ht="26" x14ac:dyDescent="0.3">
      <c r="B187" s="67"/>
      <c r="C187" s="68"/>
      <c r="E187" s="67"/>
      <c r="F187" s="68"/>
      <c r="BC187" s="19"/>
      <c r="BD187" s="19"/>
      <c r="BE187" s="19"/>
      <c r="BF187" s="19"/>
    </row>
    <row r="188" spans="2:58" s="23" customFormat="1" ht="26" x14ac:dyDescent="0.3">
      <c r="B188" s="67"/>
      <c r="C188" s="68"/>
      <c r="E188" s="67"/>
      <c r="F188" s="68"/>
      <c r="BC188" s="19"/>
      <c r="BD188" s="19"/>
      <c r="BE188" s="19"/>
      <c r="BF188" s="19"/>
    </row>
    <row r="189" spans="2:58" s="23" customFormat="1" ht="26" x14ac:dyDescent="0.3">
      <c r="B189" s="67"/>
      <c r="C189" s="68"/>
      <c r="E189" s="67"/>
      <c r="F189" s="68"/>
      <c r="BC189" s="19"/>
      <c r="BD189" s="19"/>
      <c r="BE189" s="19"/>
      <c r="BF189" s="19"/>
    </row>
    <row r="190" spans="2:58" s="23" customFormat="1" ht="26" x14ac:dyDescent="0.3">
      <c r="B190" s="67"/>
      <c r="C190" s="68"/>
      <c r="E190" s="67"/>
      <c r="F190" s="68"/>
      <c r="BC190" s="19"/>
      <c r="BD190" s="19"/>
      <c r="BE190" s="19"/>
      <c r="BF190" s="19"/>
    </row>
    <row r="191" spans="2:58" s="23" customFormat="1" ht="26" x14ac:dyDescent="0.3">
      <c r="B191" s="67"/>
      <c r="C191" s="68"/>
      <c r="E191" s="67"/>
      <c r="F191" s="68"/>
      <c r="BC191" s="19"/>
      <c r="BD191" s="19"/>
      <c r="BE191" s="19"/>
      <c r="BF191" s="19"/>
    </row>
    <row r="192" spans="2:58" s="23" customFormat="1" ht="26" x14ac:dyDescent="0.3">
      <c r="B192" s="67"/>
      <c r="C192" s="68"/>
      <c r="E192" s="67"/>
      <c r="F192" s="68"/>
      <c r="BC192" s="19"/>
      <c r="BD192" s="19"/>
      <c r="BE192" s="19"/>
      <c r="BF192" s="19"/>
    </row>
    <row r="193" spans="2:58" s="23" customFormat="1" ht="26" x14ac:dyDescent="0.3">
      <c r="B193" s="67"/>
      <c r="C193" s="68"/>
      <c r="E193" s="67"/>
      <c r="F193" s="68"/>
      <c r="BC193" s="19"/>
      <c r="BD193" s="19"/>
      <c r="BE193" s="19"/>
      <c r="BF193" s="19"/>
    </row>
    <row r="194" spans="2:58" s="23" customFormat="1" ht="26" x14ac:dyDescent="0.3">
      <c r="C194" s="68"/>
      <c r="E194" s="67"/>
      <c r="F194" s="68"/>
      <c r="BC194" s="19"/>
      <c r="BD194" s="19"/>
      <c r="BE194" s="19"/>
      <c r="BF194" s="19"/>
    </row>
    <row r="195" spans="2:58" s="23" customFormat="1" ht="26" x14ac:dyDescent="0.3">
      <c r="C195" s="68"/>
      <c r="E195" s="67"/>
      <c r="F195" s="68"/>
      <c r="BC195" s="19"/>
      <c r="BD195" s="19"/>
      <c r="BE195" s="19"/>
      <c r="BF195" s="19"/>
    </row>
    <row r="196" spans="2:58" s="23" customFormat="1" ht="26" x14ac:dyDescent="0.3">
      <c r="C196" s="68"/>
      <c r="E196" s="67"/>
      <c r="F196" s="68"/>
      <c r="BC196" s="19"/>
      <c r="BD196" s="19"/>
      <c r="BE196" s="19"/>
      <c r="BF196" s="19"/>
    </row>
    <row r="197" spans="2:58" s="23" customFormat="1" ht="26" x14ac:dyDescent="0.3">
      <c r="C197" s="68"/>
      <c r="E197" s="67"/>
      <c r="F197" s="68"/>
      <c r="BC197" s="19"/>
      <c r="BD197" s="19"/>
      <c r="BE197" s="19"/>
      <c r="BF197" s="19"/>
    </row>
    <row r="198" spans="2:58" s="23" customFormat="1" ht="26" x14ac:dyDescent="0.3">
      <c r="C198" s="68"/>
      <c r="E198" s="67"/>
      <c r="F198" s="68"/>
      <c r="BC198" s="19"/>
      <c r="BD198" s="19"/>
      <c r="BE198" s="19"/>
      <c r="BF198" s="19"/>
    </row>
    <row r="199" spans="2:58" s="23" customFormat="1" ht="26" x14ac:dyDescent="0.3">
      <c r="C199" s="68"/>
      <c r="E199" s="67"/>
      <c r="F199" s="68"/>
      <c r="BC199" s="19"/>
      <c r="BD199" s="19"/>
      <c r="BE199" s="19"/>
      <c r="BF199" s="19"/>
    </row>
    <row r="200" spans="2:58" s="23" customFormat="1" ht="26" x14ac:dyDescent="0.3">
      <c r="C200" s="68"/>
      <c r="E200" s="67"/>
      <c r="F200" s="68"/>
      <c r="BC200" s="19"/>
      <c r="BD200" s="19"/>
      <c r="BE200" s="19"/>
      <c r="BF200" s="19"/>
    </row>
    <row r="201" spans="2:58" s="23" customFormat="1" ht="26" x14ac:dyDescent="0.3">
      <c r="C201" s="68"/>
      <c r="E201" s="67"/>
      <c r="F201" s="68"/>
      <c r="BC201" s="19"/>
      <c r="BD201" s="19"/>
      <c r="BE201" s="19"/>
      <c r="BF201" s="19"/>
    </row>
    <row r="202" spans="2:58" s="23" customFormat="1" ht="26" x14ac:dyDescent="0.3">
      <c r="C202" s="68"/>
      <c r="E202" s="67"/>
      <c r="F202" s="68"/>
      <c r="BC202" s="19"/>
      <c r="BD202" s="19"/>
      <c r="BE202" s="19"/>
      <c r="BF202" s="19"/>
    </row>
    <row r="203" spans="2:58" s="23" customFormat="1" ht="26" x14ac:dyDescent="0.3">
      <c r="C203" s="68"/>
      <c r="E203" s="67"/>
      <c r="F203" s="68"/>
      <c r="BC203" s="19"/>
      <c r="BD203" s="19"/>
      <c r="BE203" s="19"/>
      <c r="BF203" s="19"/>
    </row>
    <row r="204" spans="2:58" s="23" customFormat="1" ht="26" x14ac:dyDescent="0.3">
      <c r="C204" s="68"/>
      <c r="E204" s="67"/>
      <c r="F204" s="68"/>
      <c r="BC204" s="19"/>
      <c r="BD204" s="19"/>
      <c r="BE204" s="19"/>
      <c r="BF204" s="19"/>
    </row>
    <row r="205" spans="2:58" s="23" customFormat="1" ht="26" x14ac:dyDescent="0.3">
      <c r="C205" s="68"/>
      <c r="E205" s="67"/>
      <c r="F205" s="68"/>
      <c r="BC205" s="19"/>
      <c r="BD205" s="19"/>
      <c r="BE205" s="19"/>
      <c r="BF205" s="19"/>
    </row>
    <row r="206" spans="2:58" s="23" customFormat="1" ht="26" x14ac:dyDescent="0.3">
      <c r="C206" s="68"/>
      <c r="E206" s="67"/>
      <c r="F206" s="68"/>
      <c r="BC206" s="19"/>
      <c r="BD206" s="19"/>
      <c r="BE206" s="19"/>
      <c r="BF206" s="19"/>
    </row>
    <row r="207" spans="2:58" s="23" customFormat="1" ht="26" x14ac:dyDescent="0.3">
      <c r="C207" s="68"/>
      <c r="E207" s="67"/>
      <c r="F207" s="68"/>
      <c r="BC207" s="19"/>
      <c r="BD207" s="19"/>
      <c r="BE207" s="19"/>
      <c r="BF207" s="19"/>
    </row>
    <row r="208" spans="2:58" s="23" customFormat="1" ht="26" x14ac:dyDescent="0.3">
      <c r="C208" s="68"/>
      <c r="E208" s="67"/>
      <c r="F208" s="68"/>
      <c r="BC208" s="19"/>
      <c r="BD208" s="19"/>
      <c r="BE208" s="19"/>
      <c r="BF208" s="19"/>
    </row>
    <row r="209" spans="3:58" s="23" customFormat="1" ht="26" x14ac:dyDescent="0.3">
      <c r="C209" s="68"/>
      <c r="E209" s="67"/>
      <c r="F209" s="68"/>
      <c r="BC209" s="19"/>
      <c r="BD209" s="19"/>
      <c r="BE209" s="19"/>
      <c r="BF209" s="19"/>
    </row>
    <row r="210" spans="3:58" s="23" customFormat="1" ht="26" x14ac:dyDescent="0.3">
      <c r="C210" s="68"/>
      <c r="E210" s="67"/>
      <c r="F210" s="68"/>
      <c r="BC210" s="19"/>
      <c r="BD210" s="19"/>
      <c r="BE210" s="19"/>
      <c r="BF210" s="19"/>
    </row>
    <row r="211" spans="3:58" s="23" customFormat="1" ht="26" x14ac:dyDescent="0.3">
      <c r="C211" s="68"/>
      <c r="E211" s="67"/>
      <c r="F211" s="68"/>
      <c r="BC211" s="19"/>
      <c r="BD211" s="19"/>
      <c r="BE211" s="19"/>
      <c r="BF211" s="19"/>
    </row>
    <row r="212" spans="3:58" s="23" customFormat="1" ht="26" x14ac:dyDescent="0.3">
      <c r="C212" s="68"/>
      <c r="E212" s="67"/>
      <c r="F212" s="68"/>
      <c r="BC212" s="19"/>
      <c r="BD212" s="19"/>
      <c r="BE212" s="19"/>
      <c r="BF212" s="19"/>
    </row>
    <row r="213" spans="3:58" s="23" customFormat="1" ht="26" x14ac:dyDescent="0.3">
      <c r="C213" s="68"/>
      <c r="E213" s="67"/>
      <c r="F213" s="68"/>
      <c r="BC213" s="19"/>
      <c r="BD213" s="19"/>
      <c r="BE213" s="19"/>
      <c r="BF213" s="19"/>
    </row>
    <row r="214" spans="3:58" s="23" customFormat="1" ht="26" x14ac:dyDescent="0.3">
      <c r="C214" s="68"/>
      <c r="E214" s="67"/>
      <c r="F214" s="68"/>
      <c r="BC214" s="19"/>
      <c r="BD214" s="19"/>
      <c r="BE214" s="19"/>
      <c r="BF214" s="19"/>
    </row>
    <row r="215" spans="3:58" s="23" customFormat="1" ht="26" x14ac:dyDescent="0.3">
      <c r="C215" s="68"/>
      <c r="E215" s="67"/>
      <c r="F215" s="68"/>
      <c r="BC215" s="19"/>
      <c r="BD215" s="19"/>
      <c r="BE215" s="19"/>
      <c r="BF215" s="19"/>
    </row>
    <row r="216" spans="3:58" s="23" customFormat="1" ht="26" x14ac:dyDescent="0.3">
      <c r="C216" s="68"/>
      <c r="E216" s="67"/>
      <c r="F216" s="68"/>
      <c r="BC216" s="19"/>
      <c r="BD216" s="19"/>
      <c r="BE216" s="19"/>
      <c r="BF216" s="19"/>
    </row>
    <row r="217" spans="3:58" s="23" customFormat="1" ht="26" x14ac:dyDescent="0.3">
      <c r="C217" s="68"/>
      <c r="E217" s="67"/>
      <c r="F217" s="68"/>
      <c r="BC217" s="19"/>
      <c r="BD217" s="19"/>
      <c r="BE217" s="19"/>
      <c r="BF217" s="19"/>
    </row>
    <row r="218" spans="3:58" s="23" customFormat="1" ht="26" x14ac:dyDescent="0.3">
      <c r="C218" s="68"/>
      <c r="E218" s="67"/>
      <c r="F218" s="68"/>
      <c r="BC218" s="19"/>
      <c r="BD218" s="19"/>
      <c r="BE218" s="19"/>
      <c r="BF218" s="19"/>
    </row>
    <row r="219" spans="3:58" s="23" customFormat="1" ht="26" x14ac:dyDescent="0.3">
      <c r="C219" s="68"/>
      <c r="E219" s="67"/>
      <c r="F219" s="68"/>
      <c r="BC219" s="19"/>
      <c r="BD219" s="19"/>
      <c r="BE219" s="19"/>
      <c r="BF219" s="19"/>
    </row>
    <row r="220" spans="3:58" s="23" customFormat="1" ht="26" x14ac:dyDescent="0.3">
      <c r="C220" s="68"/>
      <c r="E220" s="67"/>
      <c r="F220" s="68"/>
      <c r="BC220" s="19"/>
      <c r="BD220" s="19"/>
      <c r="BE220" s="19"/>
      <c r="BF220" s="19"/>
    </row>
    <row r="221" spans="3:58" s="23" customFormat="1" ht="26" x14ac:dyDescent="0.3">
      <c r="C221" s="68"/>
      <c r="E221" s="67"/>
      <c r="F221" s="68"/>
      <c r="BC221" s="19"/>
      <c r="BD221" s="19"/>
      <c r="BE221" s="19"/>
      <c r="BF221" s="19"/>
    </row>
    <row r="222" spans="3:58" s="23" customFormat="1" ht="26" x14ac:dyDescent="0.3">
      <c r="C222" s="68"/>
      <c r="E222" s="67"/>
      <c r="F222" s="68"/>
      <c r="BC222" s="19"/>
      <c r="BD222" s="19"/>
      <c r="BE222" s="19"/>
      <c r="BF222" s="19"/>
    </row>
    <row r="223" spans="3:58" s="23" customFormat="1" ht="26" x14ac:dyDescent="0.3">
      <c r="C223" s="68"/>
      <c r="E223" s="67"/>
      <c r="F223" s="68"/>
      <c r="BC223" s="19"/>
      <c r="BD223" s="19"/>
      <c r="BE223" s="19"/>
      <c r="BF223" s="19"/>
    </row>
    <row r="224" spans="3:58" s="23" customFormat="1" ht="26" x14ac:dyDescent="0.3">
      <c r="C224" s="68"/>
      <c r="E224" s="67"/>
      <c r="F224" s="68"/>
      <c r="BC224" s="19"/>
      <c r="BD224" s="19"/>
      <c r="BE224" s="19"/>
      <c r="BF224" s="19"/>
    </row>
    <row r="225" spans="3:58" s="23" customFormat="1" ht="26" x14ac:dyDescent="0.3">
      <c r="C225" s="68"/>
      <c r="E225" s="67"/>
      <c r="F225" s="68"/>
      <c r="BC225" s="19"/>
      <c r="BD225" s="19"/>
      <c r="BE225" s="19"/>
      <c r="BF225" s="19"/>
    </row>
    <row r="226" spans="3:58" s="23" customFormat="1" ht="26" x14ac:dyDescent="0.3">
      <c r="C226" s="68"/>
      <c r="E226" s="67"/>
      <c r="F226" s="68"/>
      <c r="BC226" s="19"/>
      <c r="BD226" s="19"/>
      <c r="BE226" s="19"/>
      <c r="BF226" s="19"/>
    </row>
    <row r="227" spans="3:58" s="23" customFormat="1" ht="26" x14ac:dyDescent="0.3">
      <c r="C227" s="68"/>
      <c r="E227" s="67"/>
      <c r="F227" s="68"/>
      <c r="BC227" s="19"/>
      <c r="BD227" s="19"/>
      <c r="BE227" s="19"/>
      <c r="BF227" s="19"/>
    </row>
    <row r="228" spans="3:58" s="23" customFormat="1" ht="26" x14ac:dyDescent="0.3">
      <c r="C228" s="68"/>
      <c r="E228" s="67"/>
      <c r="F228" s="68"/>
      <c r="BC228" s="19"/>
      <c r="BD228" s="19"/>
      <c r="BE228" s="19"/>
      <c r="BF228" s="19"/>
    </row>
    <row r="229" spans="3:58" s="23" customFormat="1" ht="26" x14ac:dyDescent="0.3">
      <c r="C229" s="68"/>
      <c r="E229" s="67"/>
      <c r="F229" s="68"/>
      <c r="BC229" s="19"/>
      <c r="BD229" s="19"/>
      <c r="BE229" s="19"/>
      <c r="BF229" s="19"/>
    </row>
    <row r="230" spans="3:58" s="23" customFormat="1" ht="26" x14ac:dyDescent="0.3">
      <c r="C230" s="68"/>
      <c r="E230" s="67"/>
      <c r="F230" s="68"/>
      <c r="BC230" s="19"/>
      <c r="BD230" s="19"/>
      <c r="BE230" s="19"/>
      <c r="BF230" s="19"/>
    </row>
    <row r="231" spans="3:58" s="23" customFormat="1" ht="26" x14ac:dyDescent="0.3">
      <c r="C231" s="68"/>
      <c r="E231" s="67"/>
      <c r="F231" s="68"/>
      <c r="BC231" s="19"/>
      <c r="BD231" s="19"/>
      <c r="BE231" s="19"/>
      <c r="BF231" s="19"/>
    </row>
    <row r="232" spans="3:58" s="23" customFormat="1" ht="26" x14ac:dyDescent="0.3">
      <c r="C232" s="68"/>
      <c r="E232" s="67"/>
      <c r="F232" s="68"/>
      <c r="BC232" s="19"/>
      <c r="BD232" s="19"/>
      <c r="BE232" s="19"/>
      <c r="BF232" s="19"/>
    </row>
    <row r="233" spans="3:58" s="23" customFormat="1" ht="26" x14ac:dyDescent="0.3">
      <c r="C233" s="68"/>
      <c r="E233" s="67"/>
      <c r="F233" s="68"/>
      <c r="BC233" s="19"/>
      <c r="BD233" s="19"/>
      <c r="BE233" s="19"/>
      <c r="BF233" s="19"/>
    </row>
    <row r="234" spans="3:58" s="23" customFormat="1" ht="26" x14ac:dyDescent="0.3">
      <c r="C234" s="68"/>
      <c r="E234" s="67"/>
      <c r="F234" s="68"/>
      <c r="BC234" s="19"/>
      <c r="BD234" s="19"/>
      <c r="BE234" s="19"/>
      <c r="BF234" s="19"/>
    </row>
    <row r="235" spans="3:58" s="23" customFormat="1" ht="26" x14ac:dyDescent="0.3">
      <c r="C235" s="68"/>
      <c r="E235" s="67"/>
      <c r="F235" s="68"/>
      <c r="BC235" s="19"/>
      <c r="BD235" s="19"/>
      <c r="BE235" s="19"/>
      <c r="BF235" s="19"/>
    </row>
    <row r="236" spans="3:58" s="23" customFormat="1" ht="26" x14ac:dyDescent="0.3">
      <c r="C236" s="68"/>
      <c r="E236" s="67"/>
      <c r="F236" s="68"/>
      <c r="BC236" s="19"/>
      <c r="BD236" s="19"/>
      <c r="BE236" s="19"/>
      <c r="BF236" s="19"/>
    </row>
    <row r="237" spans="3:58" s="23" customFormat="1" ht="26" x14ac:dyDescent="0.3">
      <c r="C237" s="68"/>
      <c r="E237" s="67"/>
      <c r="F237" s="68"/>
      <c r="BC237" s="19"/>
      <c r="BD237" s="19"/>
      <c r="BE237" s="19"/>
      <c r="BF237" s="19"/>
    </row>
    <row r="238" spans="3:58" s="23" customFormat="1" ht="26" x14ac:dyDescent="0.3">
      <c r="C238" s="68"/>
      <c r="E238" s="67"/>
      <c r="F238" s="68"/>
      <c r="BC238" s="19"/>
      <c r="BD238" s="19"/>
      <c r="BE238" s="19"/>
      <c r="BF238" s="19"/>
    </row>
    <row r="239" spans="3:58" s="23" customFormat="1" ht="26" x14ac:dyDescent="0.3">
      <c r="C239" s="68"/>
      <c r="E239" s="67"/>
      <c r="F239" s="68"/>
      <c r="BC239" s="19"/>
      <c r="BD239" s="19"/>
      <c r="BE239" s="19"/>
      <c r="BF239" s="19"/>
    </row>
    <row r="240" spans="3:58" s="23" customFormat="1" ht="26" x14ac:dyDescent="0.3">
      <c r="C240" s="68"/>
      <c r="E240" s="67"/>
      <c r="F240" s="68"/>
      <c r="BC240" s="19"/>
      <c r="BD240" s="19"/>
      <c r="BE240" s="19"/>
      <c r="BF240" s="19"/>
    </row>
    <row r="241" spans="3:58" s="23" customFormat="1" ht="26" x14ac:dyDescent="0.3">
      <c r="C241" s="68"/>
      <c r="E241" s="67"/>
      <c r="F241" s="68"/>
      <c r="BC241" s="19"/>
      <c r="BD241" s="19"/>
      <c r="BE241" s="19"/>
      <c r="BF241" s="19"/>
    </row>
    <row r="242" spans="3:58" s="23" customFormat="1" ht="26" x14ac:dyDescent="0.3">
      <c r="C242" s="68"/>
      <c r="E242" s="67"/>
      <c r="F242" s="68"/>
      <c r="BC242" s="19"/>
      <c r="BD242" s="19"/>
      <c r="BE242" s="19"/>
      <c r="BF242" s="19"/>
    </row>
    <row r="243" spans="3:58" s="23" customFormat="1" ht="26" x14ac:dyDescent="0.3">
      <c r="C243" s="68"/>
      <c r="E243" s="67"/>
      <c r="F243" s="68"/>
      <c r="BC243" s="19"/>
      <c r="BD243" s="19"/>
      <c r="BE243" s="19"/>
      <c r="BF243" s="19"/>
    </row>
    <row r="244" spans="3:58" s="23" customFormat="1" ht="26" x14ac:dyDescent="0.3">
      <c r="C244" s="68"/>
      <c r="E244" s="67"/>
      <c r="F244" s="68"/>
      <c r="BC244" s="19"/>
      <c r="BD244" s="19"/>
      <c r="BE244" s="19"/>
      <c r="BF244" s="19"/>
    </row>
    <row r="245" spans="3:58" s="23" customFormat="1" ht="26" x14ac:dyDescent="0.3">
      <c r="C245" s="68"/>
      <c r="E245" s="67"/>
      <c r="F245" s="68"/>
      <c r="BC245" s="19"/>
      <c r="BD245" s="19"/>
      <c r="BE245" s="19"/>
      <c r="BF245" s="19"/>
    </row>
    <row r="246" spans="3:58" s="23" customFormat="1" ht="26" x14ac:dyDescent="0.3">
      <c r="C246" s="68"/>
      <c r="E246" s="67"/>
      <c r="F246" s="68"/>
      <c r="BC246" s="19"/>
      <c r="BD246" s="19"/>
      <c r="BE246" s="19"/>
      <c r="BF246" s="19"/>
    </row>
    <row r="247" spans="3:58" s="23" customFormat="1" ht="26" x14ac:dyDescent="0.3">
      <c r="C247" s="68"/>
      <c r="E247" s="67"/>
      <c r="F247" s="68"/>
      <c r="BC247" s="19"/>
      <c r="BD247" s="19"/>
      <c r="BE247" s="19"/>
      <c r="BF247" s="19"/>
    </row>
    <row r="248" spans="3:58" s="23" customFormat="1" ht="26" x14ac:dyDescent="0.3">
      <c r="C248" s="68"/>
      <c r="E248" s="67"/>
      <c r="F248" s="68"/>
      <c r="BC248" s="19"/>
      <c r="BD248" s="19"/>
      <c r="BE248" s="19"/>
      <c r="BF248" s="19"/>
    </row>
    <row r="249" spans="3:58" s="23" customFormat="1" ht="26" x14ac:dyDescent="0.3">
      <c r="C249" s="68"/>
      <c r="E249" s="67"/>
      <c r="F249" s="68"/>
      <c r="BC249" s="19"/>
      <c r="BD249" s="19"/>
      <c r="BE249" s="19"/>
      <c r="BF249" s="19"/>
    </row>
    <row r="250" spans="3:58" s="23" customFormat="1" ht="26" x14ac:dyDescent="0.3">
      <c r="C250" s="68"/>
      <c r="E250" s="67"/>
      <c r="F250" s="68"/>
      <c r="BC250" s="19"/>
      <c r="BD250" s="19"/>
      <c r="BE250" s="19"/>
      <c r="BF250" s="19"/>
    </row>
    <row r="251" spans="3:58" s="23" customFormat="1" ht="26" x14ac:dyDescent="0.3">
      <c r="C251" s="68"/>
      <c r="E251" s="67"/>
      <c r="F251" s="68"/>
      <c r="BC251" s="19"/>
      <c r="BD251" s="19"/>
      <c r="BE251" s="19"/>
      <c r="BF251" s="19"/>
    </row>
    <row r="252" spans="3:58" s="23" customFormat="1" ht="26" x14ac:dyDescent="0.3">
      <c r="C252" s="68"/>
      <c r="E252" s="67"/>
      <c r="F252" s="68"/>
      <c r="BC252" s="19"/>
      <c r="BD252" s="19"/>
      <c r="BE252" s="19"/>
      <c r="BF252" s="19"/>
    </row>
    <row r="253" spans="3:58" s="23" customFormat="1" ht="26" x14ac:dyDescent="0.3">
      <c r="C253" s="68"/>
      <c r="E253" s="67"/>
      <c r="F253" s="68"/>
      <c r="BC253" s="19"/>
      <c r="BD253" s="19"/>
      <c r="BE253" s="19"/>
      <c r="BF253" s="19"/>
    </row>
    <row r="254" spans="3:58" s="23" customFormat="1" ht="26" x14ac:dyDescent="0.3">
      <c r="C254" s="68"/>
      <c r="E254" s="67"/>
      <c r="F254" s="68"/>
      <c r="BC254" s="19"/>
      <c r="BD254" s="19"/>
      <c r="BE254" s="19"/>
      <c r="BF254" s="19"/>
    </row>
    <row r="255" spans="3:58" s="23" customFormat="1" ht="26" x14ac:dyDescent="0.3">
      <c r="C255" s="68"/>
      <c r="E255" s="67"/>
      <c r="F255" s="68"/>
      <c r="BC255" s="19"/>
      <c r="BD255" s="19"/>
      <c r="BE255" s="19"/>
      <c r="BF255" s="19"/>
    </row>
    <row r="256" spans="3:58" s="23" customFormat="1" ht="26" x14ac:dyDescent="0.3">
      <c r="C256" s="68"/>
      <c r="E256" s="67"/>
      <c r="F256" s="68"/>
      <c r="BC256" s="19"/>
      <c r="BD256" s="19"/>
      <c r="BE256" s="19"/>
      <c r="BF256" s="19"/>
    </row>
    <row r="257" spans="3:58" s="23" customFormat="1" ht="26" x14ac:dyDescent="0.3">
      <c r="C257" s="68"/>
      <c r="E257" s="67"/>
      <c r="F257" s="68"/>
      <c r="BC257" s="19"/>
      <c r="BD257" s="19"/>
      <c r="BE257" s="19"/>
      <c r="BF257" s="19"/>
    </row>
    <row r="258" spans="3:58" s="23" customFormat="1" ht="26" x14ac:dyDescent="0.3">
      <c r="C258" s="68"/>
      <c r="E258" s="67"/>
      <c r="F258" s="68"/>
      <c r="BC258" s="19"/>
      <c r="BD258" s="19"/>
      <c r="BE258" s="19"/>
      <c r="BF258" s="19"/>
    </row>
    <row r="259" spans="3:58" s="23" customFormat="1" ht="26" x14ac:dyDescent="0.3">
      <c r="C259" s="68"/>
      <c r="E259" s="67"/>
      <c r="F259" s="68"/>
      <c r="BC259" s="19"/>
      <c r="BD259" s="19"/>
      <c r="BE259" s="19"/>
      <c r="BF259" s="19"/>
    </row>
    <row r="260" spans="3:58" s="23" customFormat="1" ht="26" x14ac:dyDescent="0.3">
      <c r="C260" s="68"/>
      <c r="E260" s="67"/>
      <c r="F260" s="68"/>
      <c r="BC260" s="19"/>
      <c r="BD260" s="19"/>
      <c r="BE260" s="19"/>
      <c r="BF260" s="19"/>
    </row>
    <row r="261" spans="3:58" s="23" customFormat="1" ht="26" x14ac:dyDescent="0.3">
      <c r="C261" s="68"/>
      <c r="E261" s="67"/>
      <c r="F261" s="68"/>
      <c r="BC261" s="19"/>
      <c r="BD261" s="19"/>
      <c r="BE261" s="19"/>
      <c r="BF261" s="19"/>
    </row>
    <row r="262" spans="3:58" s="23" customFormat="1" ht="26" x14ac:dyDescent="0.3">
      <c r="C262" s="68"/>
      <c r="E262" s="67"/>
      <c r="F262" s="68"/>
      <c r="BC262" s="19"/>
      <c r="BD262" s="19"/>
      <c r="BE262" s="19"/>
      <c r="BF262" s="19"/>
    </row>
    <row r="263" spans="3:58" s="23" customFormat="1" ht="26" x14ac:dyDescent="0.3">
      <c r="C263" s="68"/>
      <c r="E263" s="67"/>
      <c r="F263" s="68"/>
      <c r="BC263" s="19"/>
      <c r="BD263" s="19"/>
      <c r="BE263" s="19"/>
      <c r="BF263" s="19"/>
    </row>
    <row r="264" spans="3:58" s="23" customFormat="1" ht="26" x14ac:dyDescent="0.3">
      <c r="C264" s="68"/>
      <c r="E264" s="67"/>
      <c r="F264" s="68"/>
      <c r="BC264" s="19"/>
      <c r="BD264" s="19"/>
      <c r="BE264" s="19"/>
      <c r="BF264" s="19"/>
    </row>
    <row r="265" spans="3:58" s="23" customFormat="1" ht="26" x14ac:dyDescent="0.3">
      <c r="C265" s="68"/>
      <c r="E265" s="67"/>
      <c r="F265" s="68"/>
      <c r="BC265" s="19"/>
      <c r="BD265" s="19"/>
      <c r="BE265" s="19"/>
      <c r="BF265" s="19"/>
    </row>
    <row r="266" spans="3:58" s="23" customFormat="1" ht="26" x14ac:dyDescent="0.3">
      <c r="C266" s="68"/>
      <c r="E266" s="67"/>
      <c r="F266" s="68"/>
      <c r="BC266" s="19"/>
      <c r="BD266" s="19"/>
      <c r="BE266" s="19"/>
      <c r="BF266" s="19"/>
    </row>
    <row r="267" spans="3:58" s="23" customFormat="1" ht="26" x14ac:dyDescent="0.3">
      <c r="C267" s="68"/>
      <c r="E267" s="67"/>
      <c r="F267" s="68"/>
      <c r="BC267" s="19"/>
      <c r="BD267" s="19"/>
      <c r="BE267" s="19"/>
      <c r="BF267" s="19"/>
    </row>
    <row r="268" spans="3:58" s="23" customFormat="1" ht="26" x14ac:dyDescent="0.3">
      <c r="C268" s="68"/>
      <c r="E268" s="67"/>
      <c r="F268" s="68"/>
      <c r="BC268" s="19"/>
      <c r="BD268" s="19"/>
      <c r="BE268" s="19"/>
      <c r="BF268" s="19"/>
    </row>
    <row r="269" spans="3:58" s="23" customFormat="1" ht="26" x14ac:dyDescent="0.3">
      <c r="C269" s="68"/>
      <c r="E269" s="67"/>
      <c r="F269" s="68"/>
      <c r="BC269" s="19"/>
      <c r="BD269" s="19"/>
      <c r="BE269" s="19"/>
      <c r="BF269" s="19"/>
    </row>
    <row r="270" spans="3:58" s="23" customFormat="1" ht="26" x14ac:dyDescent="0.3">
      <c r="C270" s="68"/>
      <c r="E270" s="67"/>
      <c r="F270" s="68"/>
      <c r="BC270" s="19"/>
      <c r="BD270" s="19"/>
      <c r="BE270" s="19"/>
      <c r="BF270" s="19"/>
    </row>
    <row r="271" spans="3:58" s="23" customFormat="1" ht="26" x14ac:dyDescent="0.3">
      <c r="C271" s="68"/>
      <c r="E271" s="67"/>
      <c r="F271" s="68"/>
      <c r="BC271" s="19"/>
      <c r="BD271" s="19"/>
      <c r="BE271" s="19"/>
      <c r="BF271" s="19"/>
    </row>
    <row r="272" spans="3:58" s="23" customFormat="1" ht="26" x14ac:dyDescent="0.3">
      <c r="C272" s="68"/>
      <c r="E272" s="67"/>
      <c r="F272" s="68"/>
      <c r="BC272" s="19"/>
      <c r="BD272" s="19"/>
      <c r="BE272" s="19"/>
      <c r="BF272" s="19"/>
    </row>
    <row r="273" spans="3:58" s="23" customFormat="1" ht="26" x14ac:dyDescent="0.3">
      <c r="C273" s="68"/>
      <c r="E273" s="67"/>
      <c r="F273" s="68"/>
      <c r="BC273" s="19"/>
      <c r="BD273" s="19"/>
      <c r="BE273" s="19"/>
      <c r="BF273" s="19"/>
    </row>
    <row r="274" spans="3:58" s="23" customFormat="1" ht="26" x14ac:dyDescent="0.3">
      <c r="C274" s="68"/>
      <c r="E274" s="67"/>
      <c r="F274" s="68"/>
      <c r="BC274" s="19"/>
      <c r="BD274" s="19"/>
      <c r="BE274" s="19"/>
      <c r="BF274" s="19"/>
    </row>
    <row r="275" spans="3:58" s="23" customFormat="1" ht="26" x14ac:dyDescent="0.3">
      <c r="C275" s="68"/>
      <c r="E275" s="67"/>
      <c r="F275" s="68"/>
      <c r="BC275" s="19"/>
      <c r="BD275" s="19"/>
      <c r="BE275" s="19"/>
      <c r="BF275" s="19"/>
    </row>
    <row r="276" spans="3:58" s="23" customFormat="1" ht="26" x14ac:dyDescent="0.3">
      <c r="C276" s="68"/>
      <c r="E276" s="67"/>
      <c r="F276" s="68"/>
      <c r="BC276" s="19"/>
      <c r="BD276" s="19"/>
      <c r="BE276" s="19"/>
      <c r="BF276" s="19"/>
    </row>
    <row r="277" spans="3:58" s="23" customFormat="1" ht="26" x14ac:dyDescent="0.3">
      <c r="C277" s="68"/>
      <c r="E277" s="67"/>
      <c r="F277" s="68"/>
      <c r="BC277" s="19"/>
      <c r="BD277" s="19"/>
      <c r="BE277" s="19"/>
      <c r="BF277" s="19"/>
    </row>
    <row r="278" spans="3:58" s="23" customFormat="1" ht="26" x14ac:dyDescent="0.3">
      <c r="C278" s="68"/>
      <c r="E278" s="67"/>
      <c r="F278" s="68"/>
      <c r="BC278" s="19"/>
      <c r="BD278" s="19"/>
      <c r="BE278" s="19"/>
      <c r="BF278" s="19"/>
    </row>
    <row r="279" spans="3:58" s="23" customFormat="1" ht="26" x14ac:dyDescent="0.3">
      <c r="C279" s="68"/>
      <c r="E279" s="67"/>
      <c r="F279" s="68"/>
      <c r="BC279" s="19"/>
      <c r="BD279" s="19"/>
      <c r="BE279" s="19"/>
      <c r="BF279" s="19"/>
    </row>
    <row r="280" spans="3:58" s="23" customFormat="1" ht="26" x14ac:dyDescent="0.3">
      <c r="C280" s="68"/>
      <c r="E280" s="67"/>
      <c r="F280" s="68"/>
      <c r="BC280" s="19"/>
      <c r="BD280" s="19"/>
      <c r="BE280" s="19"/>
      <c r="BF280" s="19"/>
    </row>
    <row r="281" spans="3:58" s="23" customFormat="1" ht="26" x14ac:dyDescent="0.3">
      <c r="C281" s="68"/>
      <c r="E281" s="67"/>
      <c r="F281" s="68"/>
      <c r="BC281" s="19"/>
      <c r="BD281" s="19"/>
      <c r="BE281" s="19"/>
      <c r="BF281" s="19"/>
    </row>
    <row r="282" spans="3:58" s="23" customFormat="1" ht="26" x14ac:dyDescent="0.3">
      <c r="C282" s="68"/>
      <c r="E282" s="67"/>
      <c r="F282" s="68"/>
      <c r="BC282" s="19"/>
      <c r="BD282" s="19"/>
      <c r="BE282" s="19"/>
      <c r="BF282" s="19"/>
    </row>
    <row r="283" spans="3:58" s="23" customFormat="1" ht="26" x14ac:dyDescent="0.3">
      <c r="C283" s="68"/>
      <c r="E283" s="67"/>
      <c r="F283" s="68"/>
      <c r="BC283" s="19"/>
      <c r="BD283" s="19"/>
      <c r="BE283" s="19"/>
      <c r="BF283" s="19"/>
    </row>
    <row r="284" spans="3:58" s="23" customFormat="1" ht="26" x14ac:dyDescent="0.3">
      <c r="C284" s="68"/>
      <c r="E284" s="67"/>
      <c r="F284" s="68"/>
      <c r="BC284" s="19"/>
      <c r="BD284" s="19"/>
      <c r="BE284" s="19"/>
      <c r="BF284" s="19"/>
    </row>
    <row r="285" spans="3:58" s="23" customFormat="1" ht="26" x14ac:dyDescent="0.3">
      <c r="C285" s="68"/>
      <c r="E285" s="67"/>
      <c r="F285" s="68"/>
      <c r="BC285" s="19"/>
      <c r="BD285" s="19"/>
      <c r="BE285" s="19"/>
      <c r="BF285" s="19"/>
    </row>
    <row r="286" spans="3:58" s="23" customFormat="1" ht="26" x14ac:dyDescent="0.3">
      <c r="C286" s="68"/>
      <c r="E286" s="67"/>
      <c r="F286" s="68"/>
      <c r="BC286" s="19"/>
      <c r="BD286" s="19"/>
      <c r="BE286" s="19"/>
      <c r="BF286" s="19"/>
    </row>
    <row r="287" spans="3:58" s="23" customFormat="1" ht="26" x14ac:dyDescent="0.3">
      <c r="C287" s="68"/>
      <c r="E287" s="67"/>
      <c r="F287" s="68"/>
      <c r="BC287" s="19"/>
      <c r="BD287" s="19"/>
      <c r="BE287" s="19"/>
      <c r="BF287" s="19"/>
    </row>
    <row r="288" spans="3:58" s="23" customFormat="1" ht="26" x14ac:dyDescent="0.3">
      <c r="C288" s="68"/>
      <c r="E288" s="67"/>
      <c r="F288" s="68"/>
      <c r="BC288" s="19"/>
      <c r="BD288" s="19"/>
      <c r="BE288" s="19"/>
      <c r="BF288" s="19"/>
    </row>
    <row r="289" spans="3:58" s="23" customFormat="1" ht="26" x14ac:dyDescent="0.3">
      <c r="C289" s="68"/>
      <c r="E289" s="67"/>
      <c r="F289" s="68"/>
      <c r="BC289" s="19"/>
      <c r="BD289" s="19"/>
      <c r="BE289" s="19"/>
      <c r="BF289" s="19"/>
    </row>
    <row r="290" spans="3:58" s="23" customFormat="1" ht="26" x14ac:dyDescent="0.3">
      <c r="C290" s="68"/>
      <c r="E290" s="67"/>
      <c r="F290" s="68"/>
      <c r="BC290" s="19"/>
      <c r="BD290" s="19"/>
      <c r="BE290" s="19"/>
      <c r="BF290" s="19"/>
    </row>
    <row r="291" spans="3:58" s="23" customFormat="1" ht="26" x14ac:dyDescent="0.3">
      <c r="C291" s="68"/>
      <c r="E291" s="67"/>
      <c r="F291" s="68"/>
      <c r="BC291" s="19"/>
      <c r="BD291" s="19"/>
      <c r="BE291" s="19"/>
      <c r="BF291" s="19"/>
    </row>
    <row r="292" spans="3:58" s="23" customFormat="1" ht="26" x14ac:dyDescent="0.3">
      <c r="C292" s="68"/>
      <c r="E292" s="67"/>
      <c r="F292" s="68"/>
      <c r="BC292" s="19"/>
      <c r="BD292" s="19"/>
      <c r="BE292" s="19"/>
      <c r="BF292" s="19"/>
    </row>
    <row r="293" spans="3:58" s="23" customFormat="1" ht="26" x14ac:dyDescent="0.3">
      <c r="C293" s="68"/>
      <c r="E293" s="67"/>
      <c r="F293" s="68"/>
      <c r="BC293" s="19"/>
      <c r="BD293" s="19"/>
      <c r="BE293" s="19"/>
      <c r="BF293" s="19"/>
    </row>
    <row r="294" spans="3:58" s="23" customFormat="1" ht="26" x14ac:dyDescent="0.3">
      <c r="C294" s="68"/>
      <c r="E294" s="67"/>
      <c r="F294" s="68"/>
      <c r="BC294" s="19"/>
      <c r="BD294" s="19"/>
      <c r="BE294" s="19"/>
      <c r="BF294" s="19"/>
    </row>
    <row r="295" spans="3:58" s="23" customFormat="1" ht="26" x14ac:dyDescent="0.3">
      <c r="C295" s="68"/>
      <c r="E295" s="67"/>
      <c r="F295" s="68"/>
      <c r="BC295" s="19"/>
      <c r="BD295" s="19"/>
      <c r="BE295" s="19"/>
      <c r="BF295" s="19"/>
    </row>
    <row r="296" spans="3:58" s="23" customFormat="1" ht="26" x14ac:dyDescent="0.3">
      <c r="C296" s="68"/>
      <c r="E296" s="67"/>
      <c r="F296" s="68"/>
      <c r="BC296" s="19"/>
      <c r="BD296" s="19"/>
      <c r="BE296" s="19"/>
      <c r="BF296" s="19"/>
    </row>
    <row r="297" spans="3:58" s="23" customFormat="1" ht="26" x14ac:dyDescent="0.3">
      <c r="C297" s="68"/>
      <c r="E297" s="67"/>
      <c r="F297" s="68"/>
      <c r="BC297" s="19"/>
      <c r="BD297" s="19"/>
      <c r="BE297" s="19"/>
      <c r="BF297" s="19"/>
    </row>
    <row r="298" spans="3:58" s="23" customFormat="1" ht="26" x14ac:dyDescent="0.3">
      <c r="C298" s="68"/>
      <c r="E298" s="67"/>
      <c r="F298" s="68"/>
      <c r="BC298" s="19"/>
      <c r="BD298" s="19"/>
      <c r="BE298" s="19"/>
      <c r="BF298" s="19"/>
    </row>
    <row r="299" spans="3:58" s="23" customFormat="1" ht="26" x14ac:dyDescent="0.3">
      <c r="C299" s="68"/>
      <c r="E299" s="67"/>
      <c r="F299" s="68"/>
      <c r="BC299" s="19"/>
      <c r="BD299" s="19"/>
      <c r="BE299" s="19"/>
      <c r="BF299" s="19"/>
    </row>
    <row r="300" spans="3:58" s="23" customFormat="1" ht="26" x14ac:dyDescent="0.3">
      <c r="C300" s="68"/>
      <c r="E300" s="67"/>
      <c r="F300" s="68"/>
      <c r="BC300" s="19"/>
      <c r="BD300" s="19"/>
      <c r="BE300" s="19"/>
      <c r="BF300" s="19"/>
    </row>
    <row r="301" spans="3:58" s="23" customFormat="1" ht="26" x14ac:dyDescent="0.3">
      <c r="C301" s="68"/>
      <c r="E301" s="67"/>
      <c r="F301" s="68"/>
      <c r="BC301" s="19"/>
      <c r="BD301" s="19"/>
      <c r="BE301" s="19"/>
      <c r="BF301" s="19"/>
    </row>
    <row r="302" spans="3:58" s="23" customFormat="1" ht="26" x14ac:dyDescent="0.3">
      <c r="C302" s="68"/>
      <c r="E302" s="67"/>
      <c r="F302" s="68"/>
      <c r="BC302" s="19"/>
      <c r="BD302" s="19"/>
      <c r="BE302" s="19"/>
      <c r="BF302" s="19"/>
    </row>
    <row r="303" spans="3:58" s="23" customFormat="1" ht="26" x14ac:dyDescent="0.3">
      <c r="C303" s="68"/>
      <c r="E303" s="67"/>
      <c r="F303" s="68"/>
      <c r="BC303" s="19"/>
      <c r="BD303" s="19"/>
      <c r="BE303" s="19"/>
      <c r="BF303" s="19"/>
    </row>
    <row r="304" spans="3:58" s="23" customFormat="1" ht="26" x14ac:dyDescent="0.3">
      <c r="C304" s="68"/>
      <c r="E304" s="67"/>
      <c r="F304" s="68"/>
      <c r="BC304" s="19"/>
      <c r="BD304" s="19"/>
      <c r="BE304" s="19"/>
      <c r="BF304" s="19"/>
    </row>
    <row r="305" spans="3:58" s="23" customFormat="1" ht="26" x14ac:dyDescent="0.3">
      <c r="C305" s="68"/>
      <c r="E305" s="67"/>
      <c r="F305" s="68"/>
      <c r="BC305" s="19"/>
      <c r="BD305" s="19"/>
      <c r="BE305" s="19"/>
      <c r="BF305" s="19"/>
    </row>
    <row r="306" spans="3:58" s="23" customFormat="1" ht="26" x14ac:dyDescent="0.3">
      <c r="C306" s="68"/>
      <c r="E306" s="67"/>
      <c r="F306" s="68"/>
      <c r="BC306" s="19"/>
      <c r="BD306" s="19"/>
      <c r="BE306" s="19"/>
      <c r="BF306" s="19"/>
    </row>
    <row r="307" spans="3:58" s="23" customFormat="1" ht="26" x14ac:dyDescent="0.3">
      <c r="C307" s="68"/>
      <c r="E307" s="67"/>
      <c r="F307" s="68"/>
      <c r="BC307" s="19"/>
      <c r="BD307" s="19"/>
      <c r="BE307" s="19"/>
      <c r="BF307" s="19"/>
    </row>
    <row r="308" spans="3:58" s="23" customFormat="1" ht="26" x14ac:dyDescent="0.3">
      <c r="C308" s="68"/>
      <c r="E308" s="67"/>
      <c r="F308" s="68"/>
      <c r="BC308" s="19"/>
      <c r="BD308" s="19"/>
      <c r="BE308" s="19"/>
      <c r="BF308" s="19"/>
    </row>
    <row r="309" spans="3:58" s="23" customFormat="1" ht="26" x14ac:dyDescent="0.3">
      <c r="C309" s="68"/>
      <c r="E309" s="67"/>
      <c r="F309" s="68"/>
      <c r="BC309" s="19"/>
      <c r="BD309" s="19"/>
      <c r="BE309" s="19"/>
      <c r="BF309" s="19"/>
    </row>
    <row r="310" spans="3:58" s="23" customFormat="1" ht="26" x14ac:dyDescent="0.3">
      <c r="C310" s="68"/>
      <c r="E310" s="67"/>
      <c r="F310" s="68"/>
      <c r="BC310" s="19"/>
      <c r="BD310" s="19"/>
      <c r="BE310" s="19"/>
      <c r="BF310" s="19"/>
    </row>
    <row r="311" spans="3:58" s="23" customFormat="1" ht="26" x14ac:dyDescent="0.3">
      <c r="C311" s="68"/>
      <c r="E311" s="67"/>
      <c r="F311" s="68"/>
      <c r="BC311" s="19"/>
      <c r="BD311" s="19"/>
      <c r="BE311" s="19"/>
      <c r="BF311" s="19"/>
    </row>
    <row r="312" spans="3:58" s="23" customFormat="1" ht="26" x14ac:dyDescent="0.3">
      <c r="C312" s="68"/>
      <c r="E312" s="67"/>
      <c r="F312" s="68"/>
      <c r="BC312" s="19"/>
      <c r="BD312" s="19"/>
      <c r="BE312" s="19"/>
      <c r="BF312" s="19"/>
    </row>
    <row r="313" spans="3:58" s="23" customFormat="1" ht="26" x14ac:dyDescent="0.3">
      <c r="C313" s="68"/>
      <c r="E313" s="67"/>
      <c r="F313" s="68"/>
      <c r="BC313" s="19"/>
      <c r="BD313" s="19"/>
      <c r="BE313" s="19"/>
      <c r="BF313" s="19"/>
    </row>
    <row r="314" spans="3:58" s="23" customFormat="1" ht="26" x14ac:dyDescent="0.3">
      <c r="C314" s="68"/>
      <c r="E314" s="67"/>
      <c r="F314" s="68"/>
      <c r="BC314" s="19"/>
      <c r="BD314" s="19"/>
      <c r="BE314" s="19"/>
      <c r="BF314" s="19"/>
    </row>
    <row r="315" spans="3:58" s="23" customFormat="1" ht="26" x14ac:dyDescent="0.3">
      <c r="C315" s="68"/>
      <c r="E315" s="67"/>
      <c r="F315" s="68"/>
      <c r="BC315" s="19"/>
      <c r="BD315" s="19"/>
      <c r="BE315" s="19"/>
      <c r="BF315" s="19"/>
    </row>
    <row r="316" spans="3:58" s="23" customFormat="1" ht="26" x14ac:dyDescent="0.3">
      <c r="C316" s="68"/>
      <c r="E316" s="67"/>
      <c r="F316" s="68"/>
      <c r="BC316" s="19"/>
      <c r="BD316" s="19"/>
      <c r="BE316" s="19"/>
      <c r="BF316" s="19"/>
    </row>
    <row r="317" spans="3:58" s="23" customFormat="1" ht="26" x14ac:dyDescent="0.3">
      <c r="C317" s="68"/>
      <c r="E317" s="67"/>
      <c r="F317" s="68"/>
      <c r="BC317" s="19"/>
      <c r="BD317" s="19"/>
      <c r="BE317" s="19"/>
      <c r="BF317" s="19"/>
    </row>
    <row r="318" spans="3:58" s="23" customFormat="1" ht="26" x14ac:dyDescent="0.3">
      <c r="C318" s="68"/>
      <c r="E318" s="67"/>
      <c r="F318" s="68"/>
      <c r="BC318" s="19"/>
      <c r="BD318" s="19"/>
      <c r="BE318" s="19"/>
      <c r="BF318" s="19"/>
    </row>
    <row r="319" spans="3:58" s="23" customFormat="1" ht="26" x14ac:dyDescent="0.3">
      <c r="C319" s="68"/>
      <c r="E319" s="67"/>
      <c r="F319" s="68"/>
      <c r="BC319" s="19"/>
      <c r="BD319" s="19"/>
      <c r="BE319" s="19"/>
      <c r="BF319" s="19"/>
    </row>
    <row r="320" spans="3:58" s="23" customFormat="1" ht="26" x14ac:dyDescent="0.3">
      <c r="C320" s="68"/>
      <c r="E320" s="67"/>
      <c r="F320" s="68"/>
      <c r="BC320" s="19"/>
      <c r="BD320" s="19"/>
      <c r="BE320" s="19"/>
      <c r="BF320" s="19"/>
    </row>
    <row r="321" spans="3:58" s="23" customFormat="1" ht="26" x14ac:dyDescent="0.3">
      <c r="C321" s="68"/>
      <c r="E321" s="67"/>
      <c r="F321" s="68"/>
      <c r="BC321" s="19"/>
      <c r="BD321" s="19"/>
      <c r="BE321" s="19"/>
      <c r="BF321" s="19"/>
    </row>
    <row r="322" spans="3:58" s="23" customFormat="1" ht="26" x14ac:dyDescent="0.3">
      <c r="C322" s="68"/>
      <c r="E322" s="67"/>
      <c r="F322" s="68"/>
      <c r="BC322" s="19"/>
      <c r="BD322" s="19"/>
      <c r="BE322" s="19"/>
      <c r="BF322" s="19"/>
    </row>
    <row r="323" spans="3:58" s="23" customFormat="1" ht="26" x14ac:dyDescent="0.3">
      <c r="C323" s="68"/>
      <c r="E323" s="67"/>
      <c r="F323" s="68"/>
      <c r="BC323" s="19"/>
      <c r="BD323" s="19"/>
      <c r="BE323" s="19"/>
      <c r="BF323" s="19"/>
    </row>
    <row r="324" spans="3:58" s="23" customFormat="1" ht="26" x14ac:dyDescent="0.3">
      <c r="C324" s="68"/>
      <c r="E324" s="67"/>
      <c r="F324" s="68"/>
      <c r="BC324" s="19"/>
      <c r="BD324" s="19"/>
      <c r="BE324" s="19"/>
      <c r="BF324" s="19"/>
    </row>
    <row r="325" spans="3:58" s="23" customFormat="1" ht="26" x14ac:dyDescent="0.3">
      <c r="C325" s="68"/>
      <c r="E325" s="67"/>
      <c r="F325" s="68"/>
      <c r="BC325" s="19"/>
      <c r="BD325" s="19"/>
      <c r="BE325" s="19"/>
      <c r="BF325" s="19"/>
    </row>
    <row r="326" spans="3:58" s="23" customFormat="1" ht="26" x14ac:dyDescent="0.3">
      <c r="C326" s="68"/>
      <c r="E326" s="67"/>
      <c r="F326" s="68"/>
      <c r="BC326" s="19"/>
      <c r="BD326" s="19"/>
      <c r="BE326" s="19"/>
      <c r="BF326" s="19"/>
    </row>
    <row r="327" spans="3:58" s="23" customFormat="1" ht="26" x14ac:dyDescent="0.3">
      <c r="C327" s="68"/>
      <c r="E327" s="67"/>
      <c r="F327" s="68"/>
      <c r="BC327" s="19"/>
      <c r="BD327" s="19"/>
      <c r="BE327" s="19"/>
      <c r="BF327" s="19"/>
    </row>
    <row r="328" spans="3:58" s="23" customFormat="1" ht="26" x14ac:dyDescent="0.3">
      <c r="C328" s="68"/>
      <c r="E328" s="67"/>
      <c r="F328" s="68"/>
      <c r="BC328" s="19"/>
      <c r="BD328" s="19"/>
      <c r="BE328" s="19"/>
      <c r="BF328" s="19"/>
    </row>
    <row r="329" spans="3:58" s="23" customFormat="1" ht="26" x14ac:dyDescent="0.3">
      <c r="C329" s="68"/>
      <c r="E329" s="67"/>
      <c r="F329" s="68"/>
      <c r="BC329" s="19"/>
      <c r="BD329" s="19"/>
      <c r="BE329" s="19"/>
      <c r="BF329" s="19"/>
    </row>
    <row r="330" spans="3:58" s="23" customFormat="1" ht="26" x14ac:dyDescent="0.3">
      <c r="C330" s="68"/>
      <c r="E330" s="67"/>
      <c r="F330" s="68"/>
      <c r="BC330" s="19"/>
      <c r="BD330" s="19"/>
      <c r="BE330" s="19"/>
      <c r="BF330" s="19"/>
    </row>
    <row r="331" spans="3:58" s="23" customFormat="1" ht="26" x14ac:dyDescent="0.3">
      <c r="C331" s="68"/>
      <c r="E331" s="67"/>
      <c r="F331" s="68"/>
      <c r="BC331" s="19"/>
      <c r="BD331" s="19"/>
      <c r="BE331" s="19"/>
      <c r="BF331" s="19"/>
    </row>
    <row r="332" spans="3:58" s="23" customFormat="1" ht="26" x14ac:dyDescent="0.3">
      <c r="C332" s="68"/>
      <c r="E332" s="67"/>
      <c r="F332" s="68"/>
      <c r="BC332" s="19"/>
      <c r="BD332" s="19"/>
      <c r="BE332" s="19"/>
      <c r="BF332" s="19"/>
    </row>
    <row r="333" spans="3:58" s="23" customFormat="1" ht="26" x14ac:dyDescent="0.3">
      <c r="C333" s="68"/>
      <c r="E333" s="67"/>
      <c r="F333" s="68"/>
      <c r="BC333" s="19"/>
      <c r="BD333" s="19"/>
      <c r="BE333" s="19"/>
      <c r="BF333" s="19"/>
    </row>
    <row r="334" spans="3:58" s="23" customFormat="1" ht="26" x14ac:dyDescent="0.3">
      <c r="C334" s="68"/>
      <c r="E334" s="67"/>
      <c r="F334" s="68"/>
      <c r="BC334" s="19"/>
      <c r="BD334" s="19"/>
      <c r="BE334" s="19"/>
      <c r="BF334" s="19"/>
    </row>
    <row r="335" spans="3:58" s="23" customFormat="1" ht="26" x14ac:dyDescent="0.3">
      <c r="C335" s="68"/>
      <c r="E335" s="67"/>
      <c r="F335" s="68"/>
      <c r="BC335" s="19"/>
      <c r="BD335" s="19"/>
      <c r="BE335" s="19"/>
      <c r="BF335" s="19"/>
    </row>
    <row r="336" spans="3:58" s="23" customFormat="1" ht="26" x14ac:dyDescent="0.3">
      <c r="C336" s="68"/>
      <c r="E336" s="67"/>
      <c r="F336" s="68"/>
      <c r="BC336" s="19"/>
      <c r="BD336" s="19"/>
      <c r="BE336" s="19"/>
      <c r="BF336" s="19"/>
    </row>
    <row r="337" spans="3:58" s="23" customFormat="1" ht="26" x14ac:dyDescent="0.3">
      <c r="C337" s="68"/>
      <c r="E337" s="67"/>
      <c r="F337" s="68"/>
      <c r="BC337" s="19"/>
      <c r="BD337" s="19"/>
      <c r="BE337" s="19"/>
      <c r="BF337" s="19"/>
    </row>
    <row r="338" spans="3:58" s="23" customFormat="1" ht="26" x14ac:dyDescent="0.3">
      <c r="C338" s="68"/>
      <c r="E338" s="67"/>
      <c r="F338" s="68"/>
      <c r="BC338" s="19"/>
      <c r="BD338" s="19"/>
      <c r="BE338" s="19"/>
      <c r="BF338" s="19"/>
    </row>
    <row r="339" spans="3:58" s="23" customFormat="1" ht="26" x14ac:dyDescent="0.3">
      <c r="E339" s="67"/>
      <c r="F339" s="68"/>
      <c r="BC339" s="19"/>
      <c r="BD339" s="19"/>
      <c r="BE339" s="19"/>
      <c r="BF339" s="19"/>
    </row>
    <row r="340" spans="3:58" s="23" customFormat="1" ht="26" x14ac:dyDescent="0.3">
      <c r="E340" s="67"/>
      <c r="F340" s="68"/>
      <c r="BC340" s="19"/>
      <c r="BD340" s="19"/>
      <c r="BE340" s="19"/>
      <c r="BF340" s="19"/>
    </row>
    <row r="341" spans="3:58" s="23" customFormat="1" ht="26" x14ac:dyDescent="0.3">
      <c r="E341" s="67"/>
      <c r="F341" s="68"/>
      <c r="BC341" s="19"/>
      <c r="BD341" s="19"/>
      <c r="BE341" s="19"/>
      <c r="BF341" s="19"/>
    </row>
    <row r="342" spans="3:58" s="23" customFormat="1" ht="26" x14ac:dyDescent="0.3">
      <c r="E342" s="67"/>
      <c r="F342" s="68"/>
      <c r="BC342" s="19"/>
      <c r="BD342" s="19"/>
      <c r="BE342" s="19"/>
      <c r="BF342" s="19"/>
    </row>
    <row r="343" spans="3:58" s="23" customFormat="1" ht="26" x14ac:dyDescent="0.3">
      <c r="E343" s="67"/>
      <c r="F343" s="68"/>
      <c r="BC343" s="19"/>
      <c r="BD343" s="19"/>
      <c r="BE343" s="19"/>
      <c r="BF343" s="19"/>
    </row>
    <row r="344" spans="3:58" s="23" customFormat="1" ht="26" x14ac:dyDescent="0.3">
      <c r="E344" s="67"/>
      <c r="F344" s="68"/>
      <c r="BC344" s="19"/>
      <c r="BD344" s="19"/>
      <c r="BE344" s="19"/>
      <c r="BF344" s="19"/>
    </row>
    <row r="345" spans="3:58" s="23" customFormat="1" ht="26" x14ac:dyDescent="0.3">
      <c r="E345" s="67"/>
      <c r="F345" s="68"/>
      <c r="BC345" s="19"/>
      <c r="BD345" s="19"/>
      <c r="BE345" s="19"/>
      <c r="BF345" s="19"/>
    </row>
    <row r="346" spans="3:58" s="23" customFormat="1" ht="26" x14ac:dyDescent="0.3">
      <c r="E346" s="67"/>
      <c r="F346" s="68"/>
      <c r="BC346" s="19"/>
      <c r="BD346" s="19"/>
      <c r="BE346" s="19"/>
      <c r="BF346" s="19"/>
    </row>
    <row r="347" spans="3:58" s="23" customFormat="1" ht="26" x14ac:dyDescent="0.3">
      <c r="E347" s="67"/>
      <c r="F347" s="68"/>
      <c r="BC347" s="19"/>
      <c r="BD347" s="19"/>
      <c r="BE347" s="19"/>
      <c r="BF347" s="19"/>
    </row>
    <row r="348" spans="3:58" s="23" customFormat="1" ht="26" x14ac:dyDescent="0.3">
      <c r="E348" s="67"/>
      <c r="F348" s="68"/>
      <c r="BC348" s="19"/>
      <c r="BD348" s="19"/>
      <c r="BE348" s="19"/>
      <c r="BF348" s="19"/>
    </row>
    <row r="349" spans="3:58" s="23" customFormat="1" ht="26" x14ac:dyDescent="0.3">
      <c r="E349" s="67"/>
      <c r="F349" s="68"/>
      <c r="BC349" s="19"/>
      <c r="BD349" s="19"/>
      <c r="BE349" s="19"/>
      <c r="BF349" s="19"/>
    </row>
    <row r="350" spans="3:58" s="23" customFormat="1" ht="26" x14ac:dyDescent="0.3">
      <c r="E350" s="67"/>
      <c r="F350" s="68"/>
      <c r="BC350" s="19"/>
      <c r="BD350" s="19"/>
      <c r="BE350" s="19"/>
      <c r="BF350" s="19"/>
    </row>
    <row r="351" spans="3:58" s="23" customFormat="1" ht="26" x14ac:dyDescent="0.3">
      <c r="E351" s="67"/>
      <c r="F351" s="68"/>
      <c r="BC351" s="19"/>
      <c r="BD351" s="19"/>
      <c r="BE351" s="19"/>
      <c r="BF351" s="19"/>
    </row>
    <row r="352" spans="3:58" s="23" customFormat="1" ht="26" x14ac:dyDescent="0.3">
      <c r="E352" s="67"/>
      <c r="F352" s="68"/>
      <c r="BC352" s="19"/>
      <c r="BD352" s="19"/>
      <c r="BE352" s="19"/>
      <c r="BF352" s="19"/>
    </row>
    <row r="353" spans="5:58" s="23" customFormat="1" ht="26" x14ac:dyDescent="0.3">
      <c r="E353" s="67"/>
      <c r="F353" s="68"/>
      <c r="BC353" s="19"/>
      <c r="BD353" s="19"/>
      <c r="BE353" s="19"/>
      <c r="BF353" s="19"/>
    </row>
    <row r="354" spans="5:58" s="23" customFormat="1" ht="26" x14ac:dyDescent="0.3">
      <c r="E354" s="67"/>
      <c r="F354" s="68"/>
      <c r="BC354" s="19"/>
      <c r="BD354" s="19"/>
      <c r="BE354" s="19"/>
      <c r="BF354" s="19"/>
    </row>
    <row r="355" spans="5:58" s="23" customFormat="1" ht="26" x14ac:dyDescent="0.3">
      <c r="E355" s="67"/>
      <c r="F355" s="68"/>
      <c r="BC355" s="19"/>
      <c r="BD355" s="19"/>
      <c r="BE355" s="19"/>
      <c r="BF355" s="19"/>
    </row>
    <row r="356" spans="5:58" s="23" customFormat="1" ht="26" x14ac:dyDescent="0.3">
      <c r="E356" s="67"/>
      <c r="F356" s="68"/>
      <c r="BC356" s="19"/>
      <c r="BD356" s="19"/>
      <c r="BE356" s="19"/>
      <c r="BF356" s="19"/>
    </row>
    <row r="357" spans="5:58" s="23" customFormat="1" ht="26" x14ac:dyDescent="0.3">
      <c r="E357" s="67"/>
      <c r="F357" s="68"/>
      <c r="BC357" s="19"/>
      <c r="BD357" s="19"/>
      <c r="BE357" s="19"/>
      <c r="BF357" s="19"/>
    </row>
    <row r="358" spans="5:58" s="23" customFormat="1" ht="26" x14ac:dyDescent="0.3">
      <c r="E358" s="67"/>
      <c r="F358" s="68"/>
      <c r="BC358" s="19"/>
      <c r="BD358" s="19"/>
      <c r="BE358" s="19"/>
      <c r="BF358" s="19"/>
    </row>
    <row r="359" spans="5:58" s="23" customFormat="1" ht="26" x14ac:dyDescent="0.3">
      <c r="E359" s="67"/>
      <c r="F359" s="68"/>
      <c r="BC359" s="19"/>
      <c r="BD359" s="19"/>
      <c r="BE359" s="19"/>
      <c r="BF359" s="19"/>
    </row>
    <row r="360" spans="5:58" s="23" customFormat="1" ht="26" x14ac:dyDescent="0.3">
      <c r="E360" s="67"/>
      <c r="F360" s="68"/>
      <c r="BC360" s="19"/>
      <c r="BD360" s="19"/>
      <c r="BE360" s="19"/>
      <c r="BF360" s="19"/>
    </row>
    <row r="361" spans="5:58" s="23" customFormat="1" ht="26" x14ac:dyDescent="0.3">
      <c r="E361" s="67"/>
      <c r="F361" s="68"/>
      <c r="BC361" s="19"/>
      <c r="BD361" s="19"/>
      <c r="BE361" s="19"/>
      <c r="BF361" s="19"/>
    </row>
    <row r="362" spans="5:58" s="23" customFormat="1" ht="26" x14ac:dyDescent="0.3">
      <c r="E362" s="67"/>
      <c r="F362" s="68"/>
      <c r="BC362" s="19"/>
      <c r="BD362" s="19"/>
      <c r="BE362" s="19"/>
      <c r="BF362" s="19"/>
    </row>
    <row r="363" spans="5:58" s="23" customFormat="1" ht="26" x14ac:dyDescent="0.3">
      <c r="E363" s="67"/>
      <c r="F363" s="68"/>
      <c r="BC363" s="19"/>
      <c r="BD363" s="19"/>
      <c r="BE363" s="19"/>
      <c r="BF363" s="19"/>
    </row>
    <row r="364" spans="5:58" s="23" customFormat="1" ht="26" x14ac:dyDescent="0.3">
      <c r="E364" s="67"/>
      <c r="F364" s="68"/>
      <c r="BC364" s="19"/>
      <c r="BD364" s="19"/>
      <c r="BE364" s="19"/>
      <c r="BF364" s="19"/>
    </row>
    <row r="365" spans="5:58" s="23" customFormat="1" ht="26" x14ac:dyDescent="0.3">
      <c r="E365" s="67"/>
      <c r="F365" s="68"/>
      <c r="BC365" s="19"/>
      <c r="BD365" s="19"/>
      <c r="BE365" s="19"/>
      <c r="BF365" s="19"/>
    </row>
    <row r="366" spans="5:58" s="23" customFormat="1" ht="26" x14ac:dyDescent="0.3">
      <c r="E366" s="67"/>
      <c r="F366" s="68"/>
      <c r="BC366" s="19"/>
      <c r="BD366" s="19"/>
      <c r="BE366" s="19"/>
      <c r="BF366" s="19"/>
    </row>
    <row r="367" spans="5:58" s="23" customFormat="1" ht="26" x14ac:dyDescent="0.3">
      <c r="E367" s="67"/>
      <c r="F367" s="68"/>
      <c r="BC367" s="19"/>
      <c r="BD367" s="19"/>
      <c r="BE367" s="19"/>
      <c r="BF367" s="19"/>
    </row>
    <row r="368" spans="5:58" s="23" customFormat="1" ht="26" x14ac:dyDescent="0.3">
      <c r="E368" s="67"/>
      <c r="F368" s="68"/>
      <c r="BC368" s="19"/>
      <c r="BD368" s="19"/>
      <c r="BE368" s="19"/>
      <c r="BF368" s="19"/>
    </row>
    <row r="369" spans="5:58" s="23" customFormat="1" ht="26" x14ac:dyDescent="0.3">
      <c r="E369" s="67"/>
      <c r="F369" s="68"/>
      <c r="BC369" s="19"/>
      <c r="BD369" s="19"/>
      <c r="BE369" s="19"/>
      <c r="BF369" s="19"/>
    </row>
    <row r="370" spans="5:58" s="23" customFormat="1" ht="26" x14ac:dyDescent="0.3">
      <c r="E370" s="67"/>
      <c r="F370" s="68"/>
      <c r="BC370" s="19"/>
      <c r="BD370" s="19"/>
      <c r="BE370" s="19"/>
      <c r="BF370" s="19"/>
    </row>
    <row r="371" spans="5:58" s="23" customFormat="1" ht="26" x14ac:dyDescent="0.3">
      <c r="E371" s="67"/>
      <c r="F371" s="68"/>
      <c r="BC371" s="19"/>
      <c r="BD371" s="19"/>
      <c r="BE371" s="19"/>
      <c r="BF371" s="19"/>
    </row>
    <row r="372" spans="5:58" s="23" customFormat="1" ht="26" x14ac:dyDescent="0.3">
      <c r="E372" s="67"/>
      <c r="F372" s="68"/>
      <c r="BC372" s="19"/>
      <c r="BD372" s="19"/>
      <c r="BE372" s="19"/>
      <c r="BF372" s="19"/>
    </row>
    <row r="373" spans="5:58" s="23" customFormat="1" ht="26" x14ac:dyDescent="0.3">
      <c r="E373" s="67"/>
      <c r="F373" s="68"/>
      <c r="BC373" s="19"/>
      <c r="BD373" s="19"/>
      <c r="BE373" s="19"/>
      <c r="BF373" s="19"/>
    </row>
    <row r="374" spans="5:58" s="23" customFormat="1" ht="26" x14ac:dyDescent="0.3">
      <c r="E374" s="67"/>
      <c r="F374" s="68"/>
      <c r="BC374" s="19"/>
      <c r="BD374" s="19"/>
      <c r="BE374" s="19"/>
      <c r="BF374" s="19"/>
    </row>
    <row r="375" spans="5:58" s="23" customFormat="1" ht="26" x14ac:dyDescent="0.3">
      <c r="E375" s="67"/>
      <c r="F375" s="68"/>
      <c r="BC375" s="19"/>
      <c r="BD375" s="19"/>
      <c r="BE375" s="19"/>
      <c r="BF375" s="19"/>
    </row>
    <row r="376" spans="5:58" s="23" customFormat="1" ht="26" x14ac:dyDescent="0.3">
      <c r="E376" s="67"/>
      <c r="F376" s="68"/>
      <c r="BC376" s="19"/>
      <c r="BD376" s="19"/>
      <c r="BE376" s="19"/>
      <c r="BF376" s="19"/>
    </row>
    <row r="377" spans="5:58" s="23" customFormat="1" ht="26" x14ac:dyDescent="0.3">
      <c r="E377" s="67"/>
      <c r="F377" s="68"/>
      <c r="BC377" s="19"/>
      <c r="BD377" s="19"/>
      <c r="BE377" s="19"/>
      <c r="BF377" s="19"/>
    </row>
    <row r="378" spans="5:58" s="23" customFormat="1" ht="26" x14ac:dyDescent="0.3">
      <c r="E378" s="67"/>
      <c r="F378" s="68"/>
      <c r="BC378" s="19"/>
      <c r="BD378" s="19"/>
      <c r="BE378" s="19"/>
      <c r="BF378" s="19"/>
    </row>
    <row r="379" spans="5:58" s="23" customFormat="1" ht="26" x14ac:dyDescent="0.3">
      <c r="E379" s="67"/>
      <c r="F379" s="68"/>
      <c r="BC379" s="19"/>
      <c r="BD379" s="19"/>
      <c r="BE379" s="19"/>
      <c r="BF379" s="19"/>
    </row>
    <row r="380" spans="5:58" s="23" customFormat="1" ht="26" x14ac:dyDescent="0.3">
      <c r="E380" s="67"/>
      <c r="F380" s="68"/>
      <c r="BC380" s="19"/>
      <c r="BD380" s="19"/>
      <c r="BE380" s="19"/>
      <c r="BF380" s="19"/>
    </row>
    <row r="381" spans="5:58" s="23" customFormat="1" ht="26" x14ac:dyDescent="0.3">
      <c r="E381" s="67"/>
      <c r="F381" s="68"/>
      <c r="BC381" s="19"/>
      <c r="BD381" s="19"/>
      <c r="BE381" s="19"/>
      <c r="BF381" s="19"/>
    </row>
    <row r="382" spans="5:58" s="23" customFormat="1" ht="26" x14ac:dyDescent="0.3">
      <c r="E382" s="67"/>
      <c r="F382" s="68"/>
      <c r="BC382" s="19"/>
      <c r="BD382" s="19"/>
      <c r="BE382" s="19"/>
      <c r="BF382" s="19"/>
    </row>
    <row r="383" spans="5:58" s="23" customFormat="1" ht="26" x14ac:dyDescent="0.3">
      <c r="E383" s="67"/>
      <c r="F383" s="68"/>
      <c r="BC383" s="19"/>
      <c r="BD383" s="19"/>
      <c r="BE383" s="19"/>
      <c r="BF383" s="19"/>
    </row>
    <row r="384" spans="5:58" s="23" customFormat="1" ht="26" x14ac:dyDescent="0.3">
      <c r="F384" s="68"/>
      <c r="BC384" s="19"/>
      <c r="BD384" s="19"/>
      <c r="BE384" s="19"/>
      <c r="BF384" s="19"/>
    </row>
    <row r="385" spans="6:58" s="23" customFormat="1" ht="26" x14ac:dyDescent="0.3">
      <c r="F385" s="68"/>
      <c r="BC385" s="19"/>
      <c r="BD385" s="19"/>
      <c r="BE385" s="19"/>
      <c r="BF385" s="19"/>
    </row>
    <row r="386" spans="6:58" s="23" customFormat="1" ht="26" x14ac:dyDescent="0.3">
      <c r="F386" s="68"/>
      <c r="BC386" s="19"/>
      <c r="BD386" s="19"/>
      <c r="BE386" s="19"/>
      <c r="BF386" s="19"/>
    </row>
    <row r="387" spans="6:58" s="23" customFormat="1" ht="26" x14ac:dyDescent="0.3">
      <c r="F387" s="68"/>
      <c r="BC387" s="19"/>
      <c r="BD387" s="19"/>
      <c r="BE387" s="19"/>
      <c r="BF387" s="19"/>
    </row>
    <row r="388" spans="6:58" s="23" customFormat="1" ht="26" x14ac:dyDescent="0.3">
      <c r="F388" s="68"/>
      <c r="BC388" s="19"/>
      <c r="BD388" s="19"/>
      <c r="BE388" s="19"/>
      <c r="BF388" s="19"/>
    </row>
    <row r="389" spans="6:58" s="23" customFormat="1" ht="26" x14ac:dyDescent="0.3">
      <c r="F389" s="68"/>
      <c r="BC389" s="19"/>
      <c r="BD389" s="19"/>
      <c r="BE389" s="19"/>
      <c r="BF389" s="19"/>
    </row>
    <row r="390" spans="6:58" s="23" customFormat="1" ht="26" x14ac:dyDescent="0.3">
      <c r="F390" s="68"/>
      <c r="BC390" s="19"/>
      <c r="BD390" s="19"/>
      <c r="BE390" s="19"/>
      <c r="BF390" s="19"/>
    </row>
    <row r="391" spans="6:58" s="23" customFormat="1" ht="26" x14ac:dyDescent="0.3">
      <c r="F391" s="68"/>
      <c r="BC391" s="19"/>
      <c r="BD391" s="19"/>
      <c r="BE391" s="19"/>
      <c r="BF391" s="19"/>
    </row>
    <row r="392" spans="6:58" s="23" customFormat="1" ht="26" x14ac:dyDescent="0.3">
      <c r="F392" s="68"/>
      <c r="BC392" s="19"/>
      <c r="BD392" s="19"/>
      <c r="BE392" s="19"/>
      <c r="BF392" s="19"/>
    </row>
    <row r="393" spans="6:58" s="23" customFormat="1" ht="26" x14ac:dyDescent="0.3">
      <c r="F393" s="68"/>
      <c r="BC393" s="19"/>
      <c r="BD393" s="19"/>
      <c r="BE393" s="19"/>
      <c r="BF393" s="19"/>
    </row>
    <row r="394" spans="6:58" s="23" customFormat="1" ht="26" x14ac:dyDescent="0.3">
      <c r="F394" s="68"/>
      <c r="BC394" s="19"/>
      <c r="BD394" s="19"/>
      <c r="BE394" s="19"/>
      <c r="BF394" s="19"/>
    </row>
    <row r="395" spans="6:58" s="23" customFormat="1" ht="26" x14ac:dyDescent="0.3">
      <c r="F395" s="68"/>
      <c r="BC395" s="19"/>
      <c r="BD395" s="19"/>
      <c r="BE395" s="19"/>
      <c r="BF395" s="19"/>
    </row>
    <row r="396" spans="6:58" s="23" customFormat="1" ht="26" x14ac:dyDescent="0.3">
      <c r="F396" s="68"/>
      <c r="BC396" s="19"/>
      <c r="BD396" s="19"/>
      <c r="BE396" s="19"/>
      <c r="BF396" s="19"/>
    </row>
    <row r="397" spans="6:58" s="23" customFormat="1" ht="26" x14ac:dyDescent="0.3">
      <c r="F397" s="68"/>
      <c r="BC397" s="19"/>
      <c r="BD397" s="19"/>
      <c r="BE397" s="19"/>
      <c r="BF397" s="19"/>
    </row>
    <row r="398" spans="6:58" s="23" customFormat="1" ht="26" x14ac:dyDescent="0.3">
      <c r="F398" s="68"/>
      <c r="BC398" s="19"/>
      <c r="BD398" s="19"/>
      <c r="BE398" s="19"/>
      <c r="BF398" s="19"/>
    </row>
    <row r="399" spans="6:58" s="23" customFormat="1" ht="26" x14ac:dyDescent="0.3">
      <c r="F399" s="68"/>
      <c r="BC399" s="19"/>
      <c r="BD399" s="19"/>
      <c r="BE399" s="19"/>
      <c r="BF399" s="19"/>
    </row>
    <row r="400" spans="6:58" s="23" customFormat="1" x14ac:dyDescent="0.2">
      <c r="BC400" s="19"/>
      <c r="BD400" s="19"/>
      <c r="BE400" s="19"/>
      <c r="BF400" s="19"/>
    </row>
    <row r="401" spans="55:58" s="23" customFormat="1" x14ac:dyDescent="0.2">
      <c r="BC401" s="19"/>
      <c r="BD401" s="19"/>
      <c r="BE401" s="19"/>
      <c r="BF401" s="19"/>
    </row>
    <row r="402" spans="55:58" s="23" customFormat="1" x14ac:dyDescent="0.2">
      <c r="BC402" s="19"/>
      <c r="BD402" s="19"/>
      <c r="BE402" s="19"/>
      <c r="BF402" s="19"/>
    </row>
    <row r="403" spans="55:58" s="23" customFormat="1" x14ac:dyDescent="0.2">
      <c r="BC403" s="19"/>
      <c r="BD403" s="19"/>
      <c r="BE403" s="19"/>
      <c r="BF403" s="19"/>
    </row>
    <row r="404" spans="55:58" s="23" customFormat="1" x14ac:dyDescent="0.2">
      <c r="BC404" s="19"/>
      <c r="BD404" s="19"/>
      <c r="BE404" s="19"/>
      <c r="BF404" s="19"/>
    </row>
    <row r="405" spans="55:58" s="23" customFormat="1" x14ac:dyDescent="0.2">
      <c r="BC405" s="19"/>
      <c r="BD405" s="19"/>
      <c r="BE405" s="19"/>
      <c r="BF405" s="19"/>
    </row>
    <row r="406" spans="55:58" s="23" customFormat="1" x14ac:dyDescent="0.2">
      <c r="BC406" s="19"/>
      <c r="BD406" s="19"/>
      <c r="BE406" s="19"/>
      <c r="BF406" s="19"/>
    </row>
    <row r="407" spans="55:58" s="23" customFormat="1" x14ac:dyDescent="0.2">
      <c r="BC407" s="19"/>
      <c r="BD407" s="19"/>
      <c r="BE407" s="19"/>
      <c r="BF407" s="19"/>
    </row>
    <row r="408" spans="55:58" s="23" customFormat="1" x14ac:dyDescent="0.2">
      <c r="BC408" s="19"/>
      <c r="BD408" s="19"/>
      <c r="BE408" s="19"/>
      <c r="BF408" s="19"/>
    </row>
    <row r="409" spans="55:58" s="23" customFormat="1" x14ac:dyDescent="0.2">
      <c r="BC409" s="19"/>
      <c r="BD409" s="19"/>
      <c r="BE409" s="19"/>
      <c r="BF409" s="19"/>
    </row>
    <row r="410" spans="55:58" s="23" customFormat="1" x14ac:dyDescent="0.2">
      <c r="BC410" s="19"/>
      <c r="BD410" s="19"/>
      <c r="BE410" s="19"/>
      <c r="BF410" s="19"/>
    </row>
    <row r="411" spans="55:58" s="23" customFormat="1" x14ac:dyDescent="0.2">
      <c r="BC411" s="19"/>
      <c r="BD411" s="19"/>
      <c r="BE411" s="19"/>
      <c r="BF411" s="19"/>
    </row>
    <row r="412" spans="55:58" s="23" customFormat="1" x14ac:dyDescent="0.2">
      <c r="BC412" s="19"/>
      <c r="BD412" s="19"/>
      <c r="BE412" s="19"/>
      <c r="BF412" s="19"/>
    </row>
    <row r="413" spans="55:58" s="23" customFormat="1" x14ac:dyDescent="0.2">
      <c r="BC413" s="19"/>
      <c r="BD413" s="19"/>
      <c r="BE413" s="19"/>
      <c r="BF413" s="19"/>
    </row>
    <row r="414" spans="55:58" s="23" customFormat="1" x14ac:dyDescent="0.2">
      <c r="BC414" s="19"/>
      <c r="BD414" s="19"/>
      <c r="BE414" s="19"/>
      <c r="BF414" s="19"/>
    </row>
    <row r="415" spans="55:58" s="23" customFormat="1" x14ac:dyDescent="0.2">
      <c r="BC415" s="19"/>
      <c r="BD415" s="19"/>
      <c r="BE415" s="19"/>
      <c r="BF415" s="19"/>
    </row>
    <row r="416" spans="55:58" s="23" customFormat="1" x14ac:dyDescent="0.2">
      <c r="BC416" s="19"/>
      <c r="BD416" s="19"/>
      <c r="BE416" s="19"/>
      <c r="BF416" s="19"/>
    </row>
    <row r="417" spans="55:58" s="23" customFormat="1" x14ac:dyDescent="0.2">
      <c r="BC417" s="19"/>
      <c r="BD417" s="19"/>
      <c r="BE417" s="19"/>
      <c r="BF417" s="19"/>
    </row>
    <row r="418" spans="55:58" s="23" customFormat="1" x14ac:dyDescent="0.2">
      <c r="BC418" s="19"/>
      <c r="BD418" s="19"/>
      <c r="BE418" s="19"/>
      <c r="BF418" s="19"/>
    </row>
    <row r="419" spans="55:58" s="23" customFormat="1" x14ac:dyDescent="0.2">
      <c r="BC419" s="19"/>
      <c r="BD419" s="19"/>
      <c r="BE419" s="19"/>
      <c r="BF419" s="19"/>
    </row>
    <row r="420" spans="55:58" s="23" customFormat="1" x14ac:dyDescent="0.2">
      <c r="BC420" s="19"/>
      <c r="BD420" s="19"/>
      <c r="BE420" s="19"/>
      <c r="BF420" s="19"/>
    </row>
    <row r="421" spans="55:58" s="23" customFormat="1" x14ac:dyDescent="0.2">
      <c r="BC421" s="19"/>
      <c r="BD421" s="19"/>
      <c r="BE421" s="19"/>
      <c r="BF421" s="19"/>
    </row>
    <row r="422" spans="55:58" s="23" customFormat="1" x14ac:dyDescent="0.2">
      <c r="BC422" s="19"/>
      <c r="BD422" s="19"/>
      <c r="BE422" s="19"/>
      <c r="BF422" s="19"/>
    </row>
    <row r="423" spans="55:58" s="23" customFormat="1" x14ac:dyDescent="0.2">
      <c r="BC423" s="19"/>
      <c r="BD423" s="19"/>
      <c r="BE423" s="19"/>
      <c r="BF423" s="19"/>
    </row>
    <row r="424" spans="55:58" s="23" customFormat="1" x14ac:dyDescent="0.2">
      <c r="BC424" s="19"/>
      <c r="BD424" s="19"/>
      <c r="BE424" s="19"/>
      <c r="BF424" s="19"/>
    </row>
    <row r="425" spans="55:58" s="23" customFormat="1" x14ac:dyDescent="0.2">
      <c r="BC425" s="19"/>
      <c r="BD425" s="19"/>
      <c r="BE425" s="19"/>
      <c r="BF425" s="19"/>
    </row>
    <row r="426" spans="55:58" s="23" customFormat="1" x14ac:dyDescent="0.2">
      <c r="BC426" s="19"/>
      <c r="BD426" s="19"/>
      <c r="BE426" s="19"/>
      <c r="BF426" s="19"/>
    </row>
    <row r="427" spans="55:58" s="23" customFormat="1" x14ac:dyDescent="0.2">
      <c r="BC427" s="19"/>
      <c r="BD427" s="19"/>
      <c r="BE427" s="19"/>
      <c r="BF427" s="19"/>
    </row>
    <row r="428" spans="55:58" s="23" customFormat="1" x14ac:dyDescent="0.2">
      <c r="BC428" s="19"/>
      <c r="BD428" s="19"/>
      <c r="BE428" s="19"/>
      <c r="BF428" s="19"/>
    </row>
    <row r="429" spans="55:58" s="23" customFormat="1" x14ac:dyDescent="0.2">
      <c r="BC429" s="19"/>
      <c r="BD429" s="19"/>
      <c r="BE429" s="19"/>
      <c r="BF429" s="19"/>
    </row>
    <row r="430" spans="55:58" s="23" customFormat="1" x14ac:dyDescent="0.2">
      <c r="BC430" s="19"/>
      <c r="BD430" s="19"/>
      <c r="BE430" s="19"/>
      <c r="BF430" s="19"/>
    </row>
    <row r="431" spans="55:58" s="23" customFormat="1" x14ac:dyDescent="0.2">
      <c r="BC431" s="19"/>
      <c r="BD431" s="19"/>
      <c r="BE431" s="19"/>
      <c r="BF431" s="19"/>
    </row>
    <row r="432" spans="55:58" s="23" customFormat="1" x14ac:dyDescent="0.2">
      <c r="BC432" s="19"/>
      <c r="BD432" s="19"/>
      <c r="BE432" s="19"/>
      <c r="BF432" s="19"/>
    </row>
    <row r="433" spans="55:58" s="23" customFormat="1" x14ac:dyDescent="0.2">
      <c r="BC433" s="19"/>
      <c r="BD433" s="19"/>
      <c r="BE433" s="19"/>
      <c r="BF433" s="19"/>
    </row>
    <row r="434" spans="55:58" s="23" customFormat="1" x14ac:dyDescent="0.2">
      <c r="BC434" s="19"/>
      <c r="BD434" s="19"/>
      <c r="BE434" s="19"/>
      <c r="BF434" s="19"/>
    </row>
    <row r="435" spans="55:58" s="23" customFormat="1" x14ac:dyDescent="0.2">
      <c r="BC435" s="19"/>
      <c r="BD435" s="19"/>
      <c r="BE435" s="19"/>
      <c r="BF435" s="19"/>
    </row>
    <row r="436" spans="55:58" s="23" customFormat="1" x14ac:dyDescent="0.2">
      <c r="BC436" s="19"/>
      <c r="BD436" s="19"/>
      <c r="BE436" s="19"/>
      <c r="BF436" s="19"/>
    </row>
    <row r="437" spans="55:58" s="23" customFormat="1" x14ac:dyDescent="0.2">
      <c r="BC437" s="19"/>
      <c r="BD437" s="19"/>
      <c r="BE437" s="19"/>
      <c r="BF437" s="19"/>
    </row>
    <row r="438" spans="55:58" s="23" customFormat="1" x14ac:dyDescent="0.2">
      <c r="BC438" s="19"/>
      <c r="BD438" s="19"/>
      <c r="BE438" s="19"/>
      <c r="BF438" s="19"/>
    </row>
    <row r="439" spans="55:58" s="23" customFormat="1" x14ac:dyDescent="0.2">
      <c r="BC439" s="19"/>
      <c r="BD439" s="19"/>
      <c r="BE439" s="19"/>
      <c r="BF439" s="19"/>
    </row>
    <row r="440" spans="55:58" s="23" customFormat="1" x14ac:dyDescent="0.2">
      <c r="BC440" s="19"/>
      <c r="BD440" s="19"/>
      <c r="BE440" s="19"/>
      <c r="BF440" s="19"/>
    </row>
    <row r="441" spans="55:58" s="23" customFormat="1" x14ac:dyDescent="0.2">
      <c r="BC441" s="19"/>
      <c r="BD441" s="19"/>
      <c r="BE441" s="19"/>
      <c r="BF441" s="19"/>
    </row>
    <row r="442" spans="55:58" s="23" customFormat="1" x14ac:dyDescent="0.2">
      <c r="BC442" s="19"/>
      <c r="BD442" s="19"/>
      <c r="BE442" s="19"/>
      <c r="BF442" s="19"/>
    </row>
    <row r="443" spans="55:58" s="23" customFormat="1" x14ac:dyDescent="0.2">
      <c r="BC443" s="19"/>
      <c r="BD443" s="19"/>
      <c r="BE443" s="19"/>
      <c r="BF443" s="19"/>
    </row>
    <row r="444" spans="55:58" s="23" customFormat="1" x14ac:dyDescent="0.2">
      <c r="BC444" s="19"/>
      <c r="BD444" s="19"/>
      <c r="BE444" s="19"/>
      <c r="BF444" s="19"/>
    </row>
    <row r="445" spans="55:58" s="23" customFormat="1" x14ac:dyDescent="0.2">
      <c r="BC445" s="19"/>
      <c r="BD445" s="19"/>
      <c r="BE445" s="19"/>
      <c r="BF445" s="19"/>
    </row>
    <row r="446" spans="55:58" s="23" customFormat="1" x14ac:dyDescent="0.2">
      <c r="BC446" s="19"/>
      <c r="BD446" s="19"/>
      <c r="BE446" s="19"/>
      <c r="BF446" s="19"/>
    </row>
    <row r="447" spans="55:58" s="23" customFormat="1" x14ac:dyDescent="0.2">
      <c r="BC447" s="19"/>
      <c r="BD447" s="19"/>
      <c r="BE447" s="19"/>
      <c r="BF447" s="19"/>
    </row>
    <row r="448" spans="55:58" s="23" customFormat="1" x14ac:dyDescent="0.2">
      <c r="BC448" s="19"/>
      <c r="BD448" s="19"/>
      <c r="BE448" s="19"/>
      <c r="BF448" s="19"/>
    </row>
    <row r="449" spans="55:58" s="23" customFormat="1" x14ac:dyDescent="0.2">
      <c r="BC449" s="19"/>
      <c r="BD449" s="19"/>
      <c r="BE449" s="19"/>
      <c r="BF449" s="19"/>
    </row>
    <row r="450" spans="55:58" s="23" customFormat="1" x14ac:dyDescent="0.2">
      <c r="BC450" s="19"/>
      <c r="BD450" s="19"/>
      <c r="BE450" s="19"/>
      <c r="BF450" s="19"/>
    </row>
    <row r="451" spans="55:58" s="23" customFormat="1" x14ac:dyDescent="0.2">
      <c r="BC451" s="19"/>
      <c r="BD451" s="19"/>
      <c r="BE451" s="19"/>
      <c r="BF451" s="19"/>
    </row>
    <row r="452" spans="55:58" s="23" customFormat="1" x14ac:dyDescent="0.2">
      <c r="BC452" s="19"/>
      <c r="BD452" s="19"/>
      <c r="BE452" s="19"/>
      <c r="BF452" s="19"/>
    </row>
    <row r="453" spans="55:58" s="23" customFormat="1" x14ac:dyDescent="0.2">
      <c r="BC453" s="19"/>
      <c r="BD453" s="19"/>
      <c r="BE453" s="19"/>
      <c r="BF453" s="19"/>
    </row>
    <row r="454" spans="55:58" s="23" customFormat="1" x14ac:dyDescent="0.2">
      <c r="BC454" s="19"/>
      <c r="BD454" s="19"/>
      <c r="BE454" s="19"/>
      <c r="BF454" s="19"/>
    </row>
    <row r="455" spans="55:58" s="23" customFormat="1" x14ac:dyDescent="0.2">
      <c r="BC455" s="19"/>
      <c r="BD455" s="19"/>
      <c r="BE455" s="19"/>
      <c r="BF455" s="19"/>
    </row>
    <row r="456" spans="55:58" s="23" customFormat="1" x14ac:dyDescent="0.2">
      <c r="BC456" s="19"/>
      <c r="BD456" s="19"/>
      <c r="BE456" s="19"/>
      <c r="BF456" s="19"/>
    </row>
    <row r="457" spans="55:58" s="23" customFormat="1" x14ac:dyDescent="0.2">
      <c r="BC457" s="19"/>
      <c r="BD457" s="19"/>
      <c r="BE457" s="19"/>
      <c r="BF457" s="19"/>
    </row>
    <row r="458" spans="55:58" s="23" customFormat="1" x14ac:dyDescent="0.2">
      <c r="BC458" s="19"/>
      <c r="BD458" s="19"/>
      <c r="BE458" s="19"/>
      <c r="BF458" s="19"/>
    </row>
    <row r="459" spans="55:58" s="23" customFormat="1" x14ac:dyDescent="0.2">
      <c r="BC459" s="19"/>
      <c r="BD459" s="19"/>
      <c r="BE459" s="19"/>
      <c r="BF459" s="19"/>
    </row>
    <row r="460" spans="55:58" s="23" customFormat="1" x14ac:dyDescent="0.2">
      <c r="BC460" s="19"/>
      <c r="BD460" s="19"/>
      <c r="BE460" s="19"/>
      <c r="BF460" s="19"/>
    </row>
    <row r="461" spans="55:58" s="23" customFormat="1" x14ac:dyDescent="0.2">
      <c r="BC461" s="19"/>
      <c r="BD461" s="19"/>
      <c r="BE461" s="19"/>
      <c r="BF461" s="19"/>
    </row>
    <row r="462" spans="55:58" s="23" customFormat="1" x14ac:dyDescent="0.2">
      <c r="BC462" s="19"/>
      <c r="BD462" s="19"/>
      <c r="BE462" s="19"/>
      <c r="BF462" s="19"/>
    </row>
    <row r="463" spans="55:58" s="23" customFormat="1" x14ac:dyDescent="0.2">
      <c r="BC463" s="19"/>
      <c r="BD463" s="19"/>
      <c r="BE463" s="19"/>
      <c r="BF463" s="19"/>
    </row>
    <row r="464" spans="55:58" s="23" customFormat="1" x14ac:dyDescent="0.2">
      <c r="BC464" s="19"/>
      <c r="BD464" s="19"/>
      <c r="BE464" s="19"/>
      <c r="BF464" s="19"/>
    </row>
    <row r="465" spans="55:58" s="23" customFormat="1" x14ac:dyDescent="0.2">
      <c r="BC465" s="19"/>
      <c r="BD465" s="19"/>
      <c r="BE465" s="19"/>
      <c r="BF465" s="19"/>
    </row>
    <row r="466" spans="55:58" s="23" customFormat="1" x14ac:dyDescent="0.2">
      <c r="BC466" s="19"/>
      <c r="BD466" s="19"/>
      <c r="BE466" s="19"/>
      <c r="BF466" s="19"/>
    </row>
    <row r="467" spans="55:58" s="23" customFormat="1" x14ac:dyDescent="0.2">
      <c r="BC467" s="19"/>
      <c r="BD467" s="19"/>
      <c r="BE467" s="19"/>
      <c r="BF467" s="19"/>
    </row>
    <row r="468" spans="55:58" s="23" customFormat="1" x14ac:dyDescent="0.2">
      <c r="BC468" s="19"/>
      <c r="BD468" s="19"/>
      <c r="BE468" s="19"/>
      <c r="BF468" s="19"/>
    </row>
    <row r="469" spans="55:58" s="23" customFormat="1" x14ac:dyDescent="0.2">
      <c r="BC469" s="19"/>
      <c r="BD469" s="19"/>
      <c r="BE469" s="19"/>
      <c r="BF469" s="19"/>
    </row>
    <row r="470" spans="55:58" s="23" customFormat="1" x14ac:dyDescent="0.2">
      <c r="BC470" s="19"/>
      <c r="BD470" s="19"/>
      <c r="BE470" s="19"/>
      <c r="BF470" s="19"/>
    </row>
    <row r="471" spans="55:58" s="23" customFormat="1" x14ac:dyDescent="0.2">
      <c r="BC471" s="19"/>
      <c r="BD471" s="19"/>
      <c r="BE471" s="19"/>
      <c r="BF471" s="19"/>
    </row>
    <row r="472" spans="55:58" s="23" customFormat="1" x14ac:dyDescent="0.2">
      <c r="BC472" s="19"/>
      <c r="BD472" s="19"/>
      <c r="BE472" s="19"/>
      <c r="BF472" s="19"/>
    </row>
    <row r="473" spans="55:58" s="23" customFormat="1" x14ac:dyDescent="0.2">
      <c r="BC473" s="19"/>
      <c r="BD473" s="19"/>
      <c r="BE473" s="19"/>
      <c r="BF473" s="19"/>
    </row>
    <row r="474" spans="55:58" s="23" customFormat="1" x14ac:dyDescent="0.2">
      <c r="BC474" s="19"/>
      <c r="BD474" s="19"/>
      <c r="BE474" s="19"/>
      <c r="BF474" s="19"/>
    </row>
    <row r="475" spans="55:58" s="23" customFormat="1" x14ac:dyDescent="0.2">
      <c r="BC475" s="19"/>
      <c r="BD475" s="19"/>
      <c r="BE475" s="19"/>
      <c r="BF475" s="19"/>
    </row>
    <row r="476" spans="55:58" s="23" customFormat="1" x14ac:dyDescent="0.2">
      <c r="BC476" s="19"/>
      <c r="BD476" s="19"/>
      <c r="BE476" s="19"/>
      <c r="BF476" s="19"/>
    </row>
    <row r="477" spans="55:58" s="23" customFormat="1" x14ac:dyDescent="0.2">
      <c r="BC477" s="19"/>
      <c r="BD477" s="19"/>
      <c r="BE477" s="19"/>
      <c r="BF477" s="19"/>
    </row>
    <row r="478" spans="55:58" s="23" customFormat="1" x14ac:dyDescent="0.2">
      <c r="BC478" s="19"/>
      <c r="BD478" s="19"/>
      <c r="BE478" s="19"/>
      <c r="BF478" s="19"/>
    </row>
    <row r="479" spans="55:58" s="23" customFormat="1" x14ac:dyDescent="0.2">
      <c r="BC479" s="19"/>
      <c r="BD479" s="19"/>
      <c r="BE479" s="19"/>
      <c r="BF479" s="19"/>
    </row>
    <row r="480" spans="55:58" s="23" customFormat="1" x14ac:dyDescent="0.2">
      <c r="BC480" s="19"/>
      <c r="BD480" s="19"/>
      <c r="BE480" s="19"/>
      <c r="BF480" s="19"/>
    </row>
    <row r="481" spans="2:58" s="23" customFormat="1" x14ac:dyDescent="0.2">
      <c r="BC481" s="19"/>
      <c r="BD481" s="19"/>
      <c r="BE481" s="19"/>
      <c r="BF481" s="19"/>
    </row>
    <row r="482" spans="2:58" x14ac:dyDescent="0.2">
      <c r="B482" s="23"/>
      <c r="C482" s="23"/>
      <c r="E482" s="23"/>
      <c r="F482" s="23"/>
    </row>
  </sheetData>
  <sheetProtection algorithmName="SHA-512" hashValue="t+j7NFgJP7+axPIDNBvsq6Q8h29D1vSMlgnZsUEq4p08zeclpUgQpoFl0B/z2sF6a651O0dMUZN1IwxeKLrCEA==" saltValue="wdIv5X2YUjLdDnR/2dKVsw==" spinCount="100000" sheet="1" objects="1" scenarios="1" selectLockedCells="1" selectUnlockedCells="1"/>
  <mergeCells count="8">
    <mergeCell ref="B23:C23"/>
    <mergeCell ref="E23:F23"/>
    <mergeCell ref="B10:C10"/>
    <mergeCell ref="E10:F10"/>
    <mergeCell ref="A1:F4"/>
    <mergeCell ref="A5:F5"/>
    <mergeCell ref="B17:C17"/>
    <mergeCell ref="E17:F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SOW_Click">
                <anchor moveWithCells="1" sizeWithCells="1">
                  <from>
                    <xdr:col>1</xdr:col>
                    <xdr:colOff>0</xdr:colOff>
                    <xdr:row>6</xdr:row>
                    <xdr:rowOff>12700</xdr:rowOff>
                  </from>
                  <to>
                    <xdr:col>6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A4DC1-7A6B-7447-ADDD-D449D3A7C1C6}">
  <sheetPr codeName="Sheet1"/>
  <dimension ref="A1:BF685"/>
  <sheetViews>
    <sheetView workbookViewId="0">
      <selection activeCell="B12" sqref="B12"/>
    </sheetView>
  </sheetViews>
  <sheetFormatPr baseColWidth="10" defaultColWidth="11" defaultRowHeight="16" x14ac:dyDescent="0.2"/>
  <cols>
    <col min="1" max="1" width="10.83203125" style="23"/>
    <col min="2" max="2" width="29.6640625" customWidth="1"/>
    <col min="3" max="3" width="71.6640625" bestFit="1" customWidth="1"/>
    <col min="4" max="4" width="15.83203125" customWidth="1"/>
    <col min="5" max="5" width="17.1640625" bestFit="1" customWidth="1"/>
    <col min="6" max="6" width="16.1640625" customWidth="1"/>
    <col min="7" max="7" width="20.1640625" customWidth="1"/>
    <col min="8" max="8" width="19.1640625" bestFit="1" customWidth="1"/>
    <col min="9" max="54" width="10.83203125" style="23"/>
    <col min="55" max="58" width="10.83203125" style="19"/>
  </cols>
  <sheetData>
    <row r="1" spans="1:54" s="19" customFormat="1" ht="16" customHeight="1" x14ac:dyDescent="0.2">
      <c r="A1" s="75" t="s">
        <v>229</v>
      </c>
      <c r="B1" s="75"/>
      <c r="C1" s="75"/>
      <c r="D1" s="75"/>
      <c r="E1" s="75"/>
      <c r="F1" s="75"/>
      <c r="G1" s="75"/>
      <c r="H1" s="75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s="19" customFormat="1" ht="16" customHeight="1" x14ac:dyDescent="0.2">
      <c r="A2" s="75"/>
      <c r="B2" s="75"/>
      <c r="C2" s="75"/>
      <c r="D2" s="75"/>
      <c r="E2" s="75"/>
      <c r="F2" s="75"/>
      <c r="G2" s="75"/>
      <c r="H2" s="75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</row>
    <row r="3" spans="1:54" s="19" customFormat="1" ht="16" customHeight="1" x14ac:dyDescent="0.2">
      <c r="A3" s="75"/>
      <c r="B3" s="75"/>
      <c r="C3" s="75"/>
      <c r="D3" s="75"/>
      <c r="E3" s="75"/>
      <c r="F3" s="75"/>
      <c r="G3" s="75"/>
      <c r="H3" s="75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s="19" customFormat="1" ht="16" customHeight="1" x14ac:dyDescent="0.2">
      <c r="A4" s="75"/>
      <c r="B4" s="75"/>
      <c r="C4" s="75"/>
      <c r="D4" s="75"/>
      <c r="E4" s="75"/>
      <c r="F4" s="75"/>
      <c r="G4" s="75"/>
      <c r="H4" s="75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</row>
    <row r="5" spans="1:54" s="19" customFormat="1" x14ac:dyDescent="0.2">
      <c r="A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</row>
    <row r="6" spans="1:54" s="19" customFormat="1" x14ac:dyDescent="0.2">
      <c r="A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26" x14ac:dyDescent="0.3">
      <c r="B7" s="77" t="s">
        <v>236</v>
      </c>
      <c r="C7" s="77"/>
      <c r="D7" s="23"/>
      <c r="E7" s="23"/>
      <c r="F7" s="23"/>
      <c r="G7" s="23"/>
      <c r="H7" s="23"/>
    </row>
    <row r="8" spans="1:54" ht="24" x14ac:dyDescent="0.3">
      <c r="B8" s="9" t="s">
        <v>182</v>
      </c>
      <c r="C8" s="9" t="s">
        <v>183</v>
      </c>
      <c r="D8" s="23"/>
      <c r="E8" s="23"/>
      <c r="F8" s="23"/>
      <c r="G8" s="23"/>
      <c r="H8" s="23"/>
      <c r="I8" s="41"/>
    </row>
    <row r="9" spans="1:54" ht="24" x14ac:dyDescent="0.3">
      <c r="B9" s="7" t="s">
        <v>240</v>
      </c>
      <c r="C9" s="27">
        <f>H24</f>
        <v>0</v>
      </c>
      <c r="D9" s="23"/>
      <c r="E9" s="23"/>
      <c r="F9" s="23"/>
      <c r="G9" s="23"/>
      <c r="H9" s="42"/>
      <c r="I9" s="36"/>
    </row>
    <row r="10" spans="1:54" ht="24" x14ac:dyDescent="0.3">
      <c r="B10" s="7" t="s">
        <v>241</v>
      </c>
      <c r="C10" s="27">
        <f>H42</f>
        <v>0</v>
      </c>
      <c r="D10" s="23"/>
      <c r="E10" s="23"/>
      <c r="F10" s="23"/>
      <c r="G10" s="23"/>
      <c r="H10" s="23"/>
    </row>
    <row r="11" spans="1:54" ht="24" x14ac:dyDescent="0.3">
      <c r="B11" s="7" t="s">
        <v>242</v>
      </c>
      <c r="C11" s="27">
        <f>'03 - SERVICES BASE'!C48</f>
        <v>0</v>
      </c>
      <c r="D11" s="23"/>
      <c r="E11" s="23"/>
      <c r="F11" s="23"/>
      <c r="G11" s="23"/>
      <c r="H11" s="23"/>
    </row>
    <row r="12" spans="1:54" ht="29" x14ac:dyDescent="0.45">
      <c r="B12" s="31" t="s">
        <v>116</v>
      </c>
      <c r="C12" s="32">
        <f>SUM(C9:C11)</f>
        <v>0</v>
      </c>
      <c r="D12" s="23"/>
      <c r="E12" s="23"/>
      <c r="F12" s="23"/>
      <c r="G12" s="23"/>
      <c r="H12" s="23"/>
    </row>
    <row r="13" spans="1:54" ht="29" x14ac:dyDescent="0.45">
      <c r="B13" s="29"/>
      <c r="C13" s="30"/>
      <c r="D13" s="23"/>
      <c r="E13" s="23"/>
      <c r="F13" s="23"/>
      <c r="G13" s="23"/>
      <c r="H13" s="23"/>
    </row>
    <row r="14" spans="1:54" ht="26" x14ac:dyDescent="0.3">
      <c r="B14" s="81" t="s">
        <v>198</v>
      </c>
      <c r="C14" s="82"/>
      <c r="D14" s="82"/>
      <c r="E14" s="82"/>
      <c r="F14" s="82"/>
      <c r="G14" s="82"/>
      <c r="H14" s="83"/>
    </row>
    <row r="15" spans="1:54" ht="24" x14ac:dyDescent="0.3">
      <c r="B15" s="9" t="s">
        <v>112</v>
      </c>
      <c r="C15" s="9" t="s">
        <v>102</v>
      </c>
      <c r="D15" s="9" t="s">
        <v>107</v>
      </c>
      <c r="E15" s="9" t="s">
        <v>108</v>
      </c>
      <c r="F15" s="9" t="s">
        <v>109</v>
      </c>
      <c r="G15" s="9" t="s">
        <v>110</v>
      </c>
      <c r="H15" s="9" t="s">
        <v>115</v>
      </c>
    </row>
    <row r="16" spans="1:54" ht="20" customHeight="1" x14ac:dyDescent="0.25">
      <c r="B16" s="80" t="s">
        <v>114</v>
      </c>
      <c r="C16" s="7" t="str">
        <f>'03 - SERVICES BASE'!C15</f>
        <v>Internal planning</v>
      </c>
      <c r="D16" s="11">
        <f>'03 - SERVICES BASE'!D15*('03 - SERVICES BASE'!$H$8/2)</f>
        <v>0</v>
      </c>
      <c r="E16" s="11">
        <f>'03 - SERVICES BASE'!E15*('03 - SERVICES BASE'!$H$8/2)</f>
        <v>0</v>
      </c>
      <c r="F16" s="11">
        <f>'03 - SERVICES BASE'!F15*('03 - SERVICES BASE'!$H$8/2)</f>
        <v>0</v>
      </c>
      <c r="G16" s="11">
        <f>'03 - SERVICES BASE'!G15*('03 - SERVICES BASE'!$H$8/2)</f>
        <v>0</v>
      </c>
      <c r="H16" s="11">
        <f t="shared" ref="H16:H22" si="0">SUM(D16:G16)</f>
        <v>0</v>
      </c>
    </row>
    <row r="17" spans="2:8" ht="20" x14ac:dyDescent="0.25">
      <c r="B17" s="80"/>
      <c r="C17" s="7" t="str">
        <f>'03 - SERVICES BASE'!C16</f>
        <v>Customer Workshoop</v>
      </c>
      <c r="D17" s="11">
        <f>'03 - SERVICES BASE'!D16*('03 - SERVICES BASE'!$H$8/2)</f>
        <v>0</v>
      </c>
      <c r="E17" s="11">
        <f>'03 - SERVICES BASE'!E16*('03 - SERVICES BASE'!$H$8/2)</f>
        <v>0</v>
      </c>
      <c r="F17" s="11">
        <f>'03 - SERVICES BASE'!F16*('03 - SERVICES BASE'!$H$8/2)</f>
        <v>0</v>
      </c>
      <c r="G17" s="11">
        <f>'03 - SERVICES BASE'!G16*('03 - SERVICES BASE'!$H$8/2)</f>
        <v>0</v>
      </c>
      <c r="H17" s="11">
        <f t="shared" si="0"/>
        <v>0</v>
      </c>
    </row>
    <row r="18" spans="2:8" ht="20" x14ac:dyDescent="0.25">
      <c r="B18" s="80"/>
      <c r="C18" s="7" t="str">
        <f>'03 - SERVICES BASE'!C17</f>
        <v>HLD Draft</v>
      </c>
      <c r="D18" s="11">
        <f>'03 - SERVICES BASE'!D17*('03 - SERVICES BASE'!$H$8/2)</f>
        <v>0</v>
      </c>
      <c r="E18" s="11">
        <f>'03 - SERVICES BASE'!E17*('03 - SERVICES BASE'!$H$8/2)</f>
        <v>0</v>
      </c>
      <c r="F18" s="11">
        <f>'03 - SERVICES BASE'!F17*('03 - SERVICES BASE'!$H$8/2)</f>
        <v>0</v>
      </c>
      <c r="G18" s="11">
        <f>'03 - SERVICES BASE'!G17*('03 - SERVICES BASE'!$H$8/2)</f>
        <v>0</v>
      </c>
      <c r="H18" s="11">
        <f t="shared" si="0"/>
        <v>0</v>
      </c>
    </row>
    <row r="19" spans="2:8" ht="20" x14ac:dyDescent="0.25">
      <c r="B19" s="80"/>
      <c r="C19" s="7" t="str">
        <f>'03 - SERVICES BASE'!C18</f>
        <v>Internal testing LAB</v>
      </c>
      <c r="D19" s="11">
        <f>'03 - SERVICES BASE'!D18*('03 - SERVICES BASE'!$H$8/2)</f>
        <v>0</v>
      </c>
      <c r="E19" s="11">
        <f>'03 - SERVICES BASE'!E18*('03 - SERVICES BASE'!$H$8/2)</f>
        <v>0</v>
      </c>
      <c r="F19" s="11">
        <f>'03 - SERVICES BASE'!F18*('03 - SERVICES BASE'!$H$8/2)</f>
        <v>0</v>
      </c>
      <c r="G19" s="11">
        <f>'03 - SERVICES BASE'!G18*('03 - SERVICES BASE'!$H$8/2)</f>
        <v>0</v>
      </c>
      <c r="H19" s="11">
        <f t="shared" si="0"/>
        <v>0</v>
      </c>
    </row>
    <row r="20" spans="2:8" ht="20" x14ac:dyDescent="0.25">
      <c r="B20" s="80"/>
      <c r="C20" s="7" t="str">
        <f>'03 - SERVICES BASE'!C19</f>
        <v>LLD Draft</v>
      </c>
      <c r="D20" s="11">
        <f>'03 - SERVICES BASE'!D19*('03 - SERVICES BASE'!$H$8/2)</f>
        <v>0</v>
      </c>
      <c r="E20" s="11">
        <f>'03 - SERVICES BASE'!E19*('03 - SERVICES BASE'!$H$8/2)</f>
        <v>0</v>
      </c>
      <c r="F20" s="11">
        <f>'03 - SERVICES BASE'!F19*('03 - SERVICES BASE'!$H$8/2)</f>
        <v>0</v>
      </c>
      <c r="G20" s="11">
        <f>'03 - SERVICES BASE'!G19*('03 - SERVICES BASE'!$H$8/2)</f>
        <v>0</v>
      </c>
      <c r="H20" s="11">
        <f t="shared" ref="H20" si="1">SUM(D20:G20)</f>
        <v>0</v>
      </c>
    </row>
    <row r="21" spans="2:8" ht="20" x14ac:dyDescent="0.25">
      <c r="B21" s="80"/>
      <c r="C21" s="7" t="str">
        <f>'03 - SERVICES BASE'!C20</f>
        <v>ATP Document</v>
      </c>
      <c r="D21" s="11">
        <f>'03 - SERVICES BASE'!D20*('03 - SERVICES BASE'!$H$8/2)</f>
        <v>0</v>
      </c>
      <c r="E21" s="11">
        <f>'03 - SERVICES BASE'!E20*('03 - SERVICES BASE'!$H$8/2)</f>
        <v>0</v>
      </c>
      <c r="F21" s="11">
        <f>'03 - SERVICES BASE'!F20*('03 - SERVICES BASE'!$H$8/2)</f>
        <v>0</v>
      </c>
      <c r="G21" s="11">
        <f>'03 - SERVICES BASE'!G20*('03 - SERVICES BASE'!$H$8/2)</f>
        <v>0</v>
      </c>
      <c r="H21" s="11">
        <f t="shared" si="0"/>
        <v>0</v>
      </c>
    </row>
    <row r="22" spans="2:8" ht="20" x14ac:dyDescent="0.25">
      <c r="B22" s="80"/>
      <c r="C22" s="7" t="str">
        <f>'03 - SERVICES BASE'!C21</f>
        <v>Review and final validation</v>
      </c>
      <c r="D22" s="11">
        <f>'03 - SERVICES BASE'!D21*('03 - SERVICES BASE'!$H$8/2)</f>
        <v>0</v>
      </c>
      <c r="E22" s="11">
        <f>'03 - SERVICES BASE'!E21*('03 - SERVICES BASE'!$H$8/2)</f>
        <v>0</v>
      </c>
      <c r="F22" s="11">
        <f>'03 - SERVICES BASE'!F21*('03 - SERVICES BASE'!$H$8/2)</f>
        <v>0</v>
      </c>
      <c r="G22" s="11">
        <f>'03 - SERVICES BASE'!G21*('03 - SERVICES BASE'!$H$8/2)</f>
        <v>0</v>
      </c>
      <c r="H22" s="11">
        <f t="shared" si="0"/>
        <v>0</v>
      </c>
    </row>
    <row r="23" spans="2:8" ht="20" x14ac:dyDescent="0.25">
      <c r="B23" s="80"/>
      <c r="C23" s="10" t="str">
        <f>'03 - SERVICES BASE'!C22</f>
        <v>TOTAL HOURS</v>
      </c>
      <c r="D23" s="11">
        <f>'03 - SERVICES BASE'!D22*('03 - SERVICES BASE'!$H$8/2)</f>
        <v>0</v>
      </c>
      <c r="E23" s="11">
        <f>'03 - SERVICES BASE'!E22*('03 - SERVICES BASE'!$H$8/2)</f>
        <v>0</v>
      </c>
      <c r="F23" s="11">
        <f>'03 - SERVICES BASE'!F22*('03 - SERVICES BASE'!$H$8/2)</f>
        <v>0</v>
      </c>
      <c r="G23" s="11">
        <f>'03 - SERVICES BASE'!G22*('03 - SERVICES BASE'!$H$8/2)</f>
        <v>0</v>
      </c>
      <c r="H23" s="12">
        <f>SUM(H16:H22)</f>
        <v>0</v>
      </c>
    </row>
    <row r="24" spans="2:8" ht="24" x14ac:dyDescent="0.3">
      <c r="B24" s="80"/>
      <c r="C24" s="9" t="str">
        <f>'03 - SERVICES BASE'!C23</f>
        <v>TOTAL COST</v>
      </c>
      <c r="D24" s="13">
        <f>D23*'03 - SERVICES BASE'!$C$8</f>
        <v>0</v>
      </c>
      <c r="E24" s="13">
        <f>E23*'03 - SERVICES BASE'!$C$9</f>
        <v>0</v>
      </c>
      <c r="F24" s="13">
        <f>F23*'03 - SERVICES BASE'!$C$10</f>
        <v>0</v>
      </c>
      <c r="G24" s="13">
        <f>G23*'03 - SERVICES BASE'!$C$11</f>
        <v>0</v>
      </c>
      <c r="H24" s="13">
        <f>SUM(D24:G24)</f>
        <v>0</v>
      </c>
    </row>
    <row r="25" spans="2:8" x14ac:dyDescent="0.2">
      <c r="B25" s="23"/>
      <c r="C25" s="23"/>
      <c r="D25" s="23"/>
      <c r="E25" s="23"/>
      <c r="F25" s="23"/>
      <c r="G25" s="23"/>
      <c r="H25" s="23"/>
    </row>
    <row r="26" spans="2:8" ht="26" x14ac:dyDescent="0.3">
      <c r="B26" s="84" t="s">
        <v>199</v>
      </c>
      <c r="C26" s="85"/>
      <c r="D26" s="85"/>
      <c r="E26" s="85"/>
      <c r="F26" s="85"/>
      <c r="G26" s="85"/>
      <c r="H26" s="86"/>
    </row>
    <row r="27" spans="2:8" ht="24" x14ac:dyDescent="0.3">
      <c r="B27" s="9" t="s">
        <v>112</v>
      </c>
      <c r="C27" s="9" t="s">
        <v>102</v>
      </c>
      <c r="D27" s="9" t="s">
        <v>107</v>
      </c>
      <c r="E27" s="9" t="s">
        <v>108</v>
      </c>
      <c r="F27" s="9" t="s">
        <v>109</v>
      </c>
      <c r="G27" s="9" t="s">
        <v>110</v>
      </c>
      <c r="H27" s="9" t="s">
        <v>115</v>
      </c>
    </row>
    <row r="28" spans="2:8" ht="20" customHeight="1" x14ac:dyDescent="0.25">
      <c r="B28" s="80" t="s">
        <v>172</v>
      </c>
      <c r="C28" s="7" t="str">
        <f>'03 - SERVICES BASE'!C27</f>
        <v>DI to NI sessions</v>
      </c>
      <c r="D28" s="11">
        <f>'03 - SERVICES BASE'!D27*'03 - SERVICES BASE'!$H$8</f>
        <v>0</v>
      </c>
      <c r="E28" s="11">
        <f>'03 - SERVICES BASE'!E27*'03 - SERVICES BASE'!$H$8</f>
        <v>0</v>
      </c>
      <c r="F28" s="11">
        <f>'03 - SERVICES BASE'!F27*'03 - SERVICES BASE'!$H$8</f>
        <v>0</v>
      </c>
      <c r="G28" s="11">
        <f>'03 - SERVICES BASE'!G27*'03 - SERVICES BASE'!$H$8</f>
        <v>0</v>
      </c>
      <c r="H28" s="11">
        <f t="shared" ref="H28:H40" si="2">SUM(D28:G28)</f>
        <v>0</v>
      </c>
    </row>
    <row r="29" spans="2:8" ht="20" x14ac:dyDescent="0.25">
      <c r="B29" s="80"/>
      <c r="C29" s="7" t="str">
        <f>'03 - SERVICES BASE'!C28</f>
        <v>Validation of technical requirements</v>
      </c>
      <c r="D29" s="11">
        <f>'03 - SERVICES BASE'!D28*'03 - SERVICES BASE'!$H$8</f>
        <v>0</v>
      </c>
      <c r="E29" s="11">
        <f>'03 - SERVICES BASE'!E28*'03 - SERVICES BASE'!$H$8</f>
        <v>0</v>
      </c>
      <c r="F29" s="11">
        <f>'03 - SERVICES BASE'!F28*'03 - SERVICES BASE'!$H$8</f>
        <v>0</v>
      </c>
      <c r="G29" s="11">
        <f>'03 - SERVICES BASE'!G28*'03 - SERVICES BASE'!$H$8</f>
        <v>0</v>
      </c>
      <c r="H29" s="11">
        <f t="shared" si="2"/>
        <v>0</v>
      </c>
    </row>
    <row r="30" spans="2:8" ht="20" x14ac:dyDescent="0.25">
      <c r="B30" s="80"/>
      <c r="C30" s="7" t="str">
        <f>'03 - SERVICES BASE'!C29</f>
        <v>VSP Installation</v>
      </c>
      <c r="D30" s="11">
        <f>'03 - SERVICES BASE'!D29*'03 - SERVICES BASE'!$H$8</f>
        <v>0</v>
      </c>
      <c r="E30" s="11">
        <f>'03 - SERVICES BASE'!E29*'03 - SERVICES BASE'!$H$8</f>
        <v>0</v>
      </c>
      <c r="F30" s="11">
        <f>'03 - SERVICES BASE'!F29*'03 - SERVICES BASE'!$H$8</f>
        <v>0</v>
      </c>
      <c r="G30" s="11">
        <f>'03 - SERVICES BASE'!G29*'03 - SERVICES BASE'!$H$8</f>
        <v>0</v>
      </c>
      <c r="H30" s="11">
        <f t="shared" si="2"/>
        <v>0</v>
      </c>
    </row>
    <row r="31" spans="2:8" ht="20" x14ac:dyDescent="0.25">
      <c r="B31" s="80"/>
      <c r="C31" s="7" t="str">
        <f>'03 - SERVICES BASE'!C30</f>
        <v>Integration with underlay infrastructure (DNS / NTP / Firewall / ETC))</v>
      </c>
      <c r="D31" s="11">
        <f>'03 - SERVICES BASE'!D30*'03 - SERVICES BASE'!$H$8</f>
        <v>0</v>
      </c>
      <c r="E31" s="11">
        <f>'03 - SERVICES BASE'!E30*'03 - SERVICES BASE'!$H$8</f>
        <v>0</v>
      </c>
      <c r="F31" s="11">
        <f>'03 - SERVICES BASE'!F30*'03 - SERVICES BASE'!$H$8</f>
        <v>0</v>
      </c>
      <c r="G31" s="11">
        <f>'03 - SERVICES BASE'!G30*'03 - SERVICES BASE'!$H$8</f>
        <v>0</v>
      </c>
      <c r="H31" s="11">
        <f t="shared" si="2"/>
        <v>0</v>
      </c>
    </row>
    <row r="32" spans="2:8" ht="20" x14ac:dyDescent="0.25">
      <c r="B32" s="80"/>
      <c r="C32" s="7" t="str">
        <f>'03 - SERVICES BASE'!C31</f>
        <v>VCS Configuration</v>
      </c>
      <c r="D32" s="11">
        <f>'03 - SERVICES BASE'!D31*'03 - SERVICES BASE'!$H$8</f>
        <v>0</v>
      </c>
      <c r="E32" s="11">
        <f>'03 - SERVICES BASE'!E31*'03 - SERVICES BASE'!$H$8</f>
        <v>0</v>
      </c>
      <c r="F32" s="11">
        <f>'03 - SERVICES BASE'!F31*'03 - SERVICES BASE'!$H$8</f>
        <v>0</v>
      </c>
      <c r="G32" s="11">
        <f>'03 - SERVICES BASE'!G31*'03 - SERVICES BASE'!$H$8</f>
        <v>0</v>
      </c>
      <c r="H32" s="11">
        <f t="shared" si="2"/>
        <v>0</v>
      </c>
    </row>
    <row r="33" spans="2:8" ht="20" x14ac:dyDescent="0.25">
      <c r="B33" s="80"/>
      <c r="C33" s="7" t="str">
        <f>'03 - SERVICES BASE'!C32</f>
        <v>VNS Configuration</v>
      </c>
      <c r="D33" s="11">
        <f>'03 - SERVICES BASE'!D32*'03 - SERVICES BASE'!$H$8</f>
        <v>0</v>
      </c>
      <c r="E33" s="11">
        <f>'03 - SERVICES BASE'!E32*'03 - SERVICES BASE'!$H$8</f>
        <v>0</v>
      </c>
      <c r="F33" s="11">
        <f>'03 - SERVICES BASE'!F32*'03 - SERVICES BASE'!$H$8</f>
        <v>0</v>
      </c>
      <c r="G33" s="11">
        <f>'03 - SERVICES BASE'!G32*'03 - SERVICES BASE'!$H$8</f>
        <v>0</v>
      </c>
      <c r="H33" s="11">
        <f t="shared" si="2"/>
        <v>0</v>
      </c>
    </row>
    <row r="34" spans="2:8" ht="20" x14ac:dyDescent="0.25">
      <c r="B34" s="80"/>
      <c r="C34" s="7" t="str">
        <f>'03 - SERVICES BASE'!C33</f>
        <v>VNS Portal Configuration</v>
      </c>
      <c r="D34" s="11">
        <f>'03 - SERVICES BASE'!D33*'03 - SERVICES BASE'!$H$8</f>
        <v>0</v>
      </c>
      <c r="E34" s="11">
        <f>'03 - SERVICES BASE'!E33*'03 - SERVICES BASE'!$H$8</f>
        <v>0</v>
      </c>
      <c r="F34" s="11">
        <f>'03 - SERVICES BASE'!F33*'03 - SERVICES BASE'!$H$8</f>
        <v>0</v>
      </c>
      <c r="G34" s="11">
        <f>'03 - SERVICES BASE'!G33*'03 - SERVICES BASE'!$H$8</f>
        <v>0</v>
      </c>
      <c r="H34" s="11">
        <f t="shared" si="2"/>
        <v>0</v>
      </c>
    </row>
    <row r="35" spans="2:8" ht="20" x14ac:dyDescent="0.25">
      <c r="B35" s="80"/>
      <c r="C35" s="7" t="str">
        <f>'03 - SERVICES BASE'!C34</f>
        <v>Notification APP Configuration</v>
      </c>
      <c r="D35" s="11">
        <f>'03 - SERVICES BASE'!D34*'03 - SERVICES BASE'!$H$8</f>
        <v>0</v>
      </c>
      <c r="E35" s="11">
        <f>'03 - SERVICES BASE'!E34*'03 - SERVICES BASE'!$H$8</f>
        <v>0</v>
      </c>
      <c r="F35" s="11">
        <f>'03 - SERVICES BASE'!F34*'03 - SERVICES BASE'!$H$8</f>
        <v>0</v>
      </c>
      <c r="G35" s="11">
        <f>'03 - SERVICES BASE'!G34*'03 - SERVICES BASE'!$H$8</f>
        <v>0</v>
      </c>
      <c r="H35" s="11">
        <f t="shared" si="2"/>
        <v>0</v>
      </c>
    </row>
    <row r="36" spans="2:8" ht="20" x14ac:dyDescent="0.25">
      <c r="B36" s="80"/>
      <c r="C36" s="7" t="str">
        <f>'03 - SERVICES BASE'!C35</f>
        <v>Nokia 7750 router integration</v>
      </c>
      <c r="D36" s="11">
        <f>'03 - SERVICES BASE'!D35*'03 - SERVICES BASE'!$H$8</f>
        <v>0</v>
      </c>
      <c r="E36" s="11">
        <f>'03 - SERVICES BASE'!E35*'03 - SERVICES BASE'!$H$8</f>
        <v>0</v>
      </c>
      <c r="F36" s="11">
        <f>'03 - SERVICES BASE'!F35*'03 - SERVICES BASE'!$H$8</f>
        <v>0</v>
      </c>
      <c r="G36" s="11">
        <f>'03 - SERVICES BASE'!G35*'03 - SERVICES BASE'!$H$8</f>
        <v>0</v>
      </c>
      <c r="H36" s="11">
        <f t="shared" si="2"/>
        <v>0</v>
      </c>
    </row>
    <row r="37" spans="2:8" ht="20" x14ac:dyDescent="0.25">
      <c r="B37" s="80"/>
      <c r="C37" s="7" t="str">
        <f>'03 - SERVICES BASE'!C36</f>
        <v>Validation and corrections</v>
      </c>
      <c r="D37" s="11">
        <f>'03 - SERVICES BASE'!D36*'03 - SERVICES BASE'!$H$8</f>
        <v>0</v>
      </c>
      <c r="E37" s="11">
        <f>'03 - SERVICES BASE'!E36*'03 - SERVICES BASE'!$H$8</f>
        <v>0</v>
      </c>
      <c r="F37" s="11">
        <f>'03 - SERVICES BASE'!F36*'03 - SERVICES BASE'!$H$8</f>
        <v>0</v>
      </c>
      <c r="G37" s="11">
        <f>'03 - SERVICES BASE'!G36*'03 - SERVICES BASE'!$H$8</f>
        <v>0</v>
      </c>
      <c r="H37" s="11">
        <f t="shared" si="2"/>
        <v>0</v>
      </c>
    </row>
    <row r="38" spans="2:8" ht="20" x14ac:dyDescent="0.25">
      <c r="B38" s="80"/>
      <c r="C38" s="7" t="str">
        <f>'03 - SERVICES BASE'!C37</f>
        <v>ATP Creation and Execution</v>
      </c>
      <c r="D38" s="11">
        <f>'03 - SERVICES BASE'!D37*'03 - SERVICES BASE'!$H$8</f>
        <v>0</v>
      </c>
      <c r="E38" s="11">
        <f>'03 - SERVICES BASE'!E37*'03 - SERVICES BASE'!$H$8</f>
        <v>0</v>
      </c>
      <c r="F38" s="11">
        <f>'03 - SERVICES BASE'!F37*'03 - SERVICES BASE'!$H$8</f>
        <v>0</v>
      </c>
      <c r="G38" s="11">
        <f>'03 - SERVICES BASE'!G37*'03 - SERVICES BASE'!$H$8</f>
        <v>0</v>
      </c>
      <c r="H38" s="11">
        <f t="shared" si="2"/>
        <v>0</v>
      </c>
    </row>
    <row r="39" spans="2:8" ht="20" x14ac:dyDescent="0.25">
      <c r="B39" s="80"/>
      <c r="C39" s="7" t="str">
        <f>'03 - SERVICES BASE'!C38</f>
        <v>On the job training</v>
      </c>
      <c r="D39" s="11">
        <f>'03 - SERVICES BASE'!D38*'03 - SERVICES BASE'!$H$8</f>
        <v>0</v>
      </c>
      <c r="E39" s="11">
        <f>'03 - SERVICES BASE'!E38*'03 - SERVICES BASE'!$H$8</f>
        <v>0</v>
      </c>
      <c r="F39" s="11">
        <f>'03 - SERVICES BASE'!F38*'03 - SERVICES BASE'!$H$8</f>
        <v>0</v>
      </c>
      <c r="G39" s="11">
        <f>'03 - SERVICES BASE'!G38*'03 - SERVICES BASE'!$H$8</f>
        <v>0</v>
      </c>
      <c r="H39" s="11">
        <f t="shared" si="2"/>
        <v>0</v>
      </c>
    </row>
    <row r="40" spans="2:8" ht="20" x14ac:dyDescent="0.25">
      <c r="B40" s="80"/>
      <c r="C40" s="7" t="str">
        <f>'03 - SERVICES BASE'!C39</f>
        <v>Project Hand Off</v>
      </c>
      <c r="D40" s="11">
        <f>'03 - SERVICES BASE'!D39*'03 - SERVICES BASE'!$H$8</f>
        <v>0</v>
      </c>
      <c r="E40" s="11">
        <f>'03 - SERVICES BASE'!E39*'03 - SERVICES BASE'!$H$8</f>
        <v>0</v>
      </c>
      <c r="F40" s="11">
        <f>'03 - SERVICES BASE'!F39*'03 - SERVICES BASE'!$H$8</f>
        <v>0</v>
      </c>
      <c r="G40" s="11">
        <f>'03 - SERVICES BASE'!G39*'03 - SERVICES BASE'!$H$8</f>
        <v>0</v>
      </c>
      <c r="H40" s="11">
        <f t="shared" si="2"/>
        <v>0</v>
      </c>
    </row>
    <row r="41" spans="2:8" ht="20" x14ac:dyDescent="0.25">
      <c r="B41" s="80"/>
      <c r="C41" s="10" t="s">
        <v>115</v>
      </c>
      <c r="D41" s="12">
        <f>SUM(D28:D40)</f>
        <v>0</v>
      </c>
      <c r="E41" s="12">
        <f>SUM(E28:E40)</f>
        <v>0</v>
      </c>
      <c r="F41" s="12">
        <f>SUM(F28:F40)</f>
        <v>0</v>
      </c>
      <c r="G41" s="12">
        <f>SUM(G28:G40)</f>
        <v>0</v>
      </c>
      <c r="H41" s="12">
        <f>SUM(H28:H38)</f>
        <v>0</v>
      </c>
    </row>
    <row r="42" spans="2:8" ht="24" x14ac:dyDescent="0.3">
      <c r="B42" s="80"/>
      <c r="C42" s="9" t="s">
        <v>116</v>
      </c>
      <c r="D42" s="13">
        <f>D41*'03 - SERVICES BASE'!$C$8</f>
        <v>0</v>
      </c>
      <c r="E42" s="13">
        <f>E41*'03 - SERVICES BASE'!$C$9</f>
        <v>0</v>
      </c>
      <c r="F42" s="13">
        <f>F41*'03 - SERVICES BASE'!$C$10</f>
        <v>0</v>
      </c>
      <c r="G42" s="13">
        <f>G41*'03 - SERVICES BASE'!$C$11</f>
        <v>0</v>
      </c>
      <c r="H42" s="13">
        <f>SUM(D42:G42)</f>
        <v>0</v>
      </c>
    </row>
    <row r="43" spans="2:8" x14ac:dyDescent="0.2">
      <c r="B43" s="23"/>
      <c r="C43" s="23"/>
      <c r="D43" s="23"/>
      <c r="E43" s="23"/>
      <c r="F43" s="23"/>
      <c r="G43" s="23"/>
      <c r="H43" s="23"/>
    </row>
    <row r="44" spans="2:8" x14ac:dyDescent="0.2">
      <c r="B44" s="23"/>
      <c r="C44" s="23"/>
      <c r="D44" s="23"/>
      <c r="E44" s="23"/>
      <c r="F44" s="23"/>
      <c r="G44" s="23"/>
      <c r="H44" s="23"/>
    </row>
    <row r="45" spans="2:8" ht="26" x14ac:dyDescent="0.3">
      <c r="B45" s="79" t="s">
        <v>200</v>
      </c>
      <c r="C45" s="79"/>
      <c r="D45" s="23"/>
      <c r="E45" s="23"/>
      <c r="F45" s="23"/>
      <c r="G45" s="23"/>
      <c r="H45" s="23"/>
    </row>
    <row r="46" spans="2:8" ht="24" x14ac:dyDescent="0.3">
      <c r="B46" s="9" t="s">
        <v>182</v>
      </c>
      <c r="C46" s="9" t="s">
        <v>183</v>
      </c>
      <c r="D46" s="23"/>
      <c r="E46" s="23"/>
      <c r="F46" s="23"/>
      <c r="G46" s="23"/>
      <c r="H46" s="23"/>
    </row>
    <row r="47" spans="2:8" ht="24" x14ac:dyDescent="0.3">
      <c r="B47" s="7" t="s">
        <v>186</v>
      </c>
      <c r="C47" s="27">
        <f>'03 - SERVICES BASE'!C45</f>
        <v>0</v>
      </c>
      <c r="D47" s="23"/>
      <c r="E47" s="23"/>
      <c r="F47" s="23"/>
      <c r="G47" s="23"/>
      <c r="H47" s="23"/>
    </row>
    <row r="48" spans="2:8" ht="24" x14ac:dyDescent="0.3">
      <c r="B48" s="7" t="s">
        <v>185</v>
      </c>
      <c r="C48" s="27">
        <f>'03 - SERVICES BASE'!C46</f>
        <v>0</v>
      </c>
      <c r="D48" s="23"/>
      <c r="E48" s="23"/>
      <c r="F48" s="23"/>
      <c r="G48" s="23"/>
      <c r="H48" s="23"/>
    </row>
    <row r="49" spans="2:8" ht="24" x14ac:dyDescent="0.3">
      <c r="B49" s="7" t="s">
        <v>187</v>
      </c>
      <c r="C49" s="27">
        <f>'03 - SERVICES BASE'!C47</f>
        <v>0</v>
      </c>
      <c r="D49" s="23"/>
      <c r="E49" s="23"/>
      <c r="F49" s="23"/>
      <c r="G49" s="23"/>
      <c r="H49" s="23"/>
    </row>
    <row r="50" spans="2:8" ht="24" x14ac:dyDescent="0.3">
      <c r="B50" s="9" t="s">
        <v>116</v>
      </c>
      <c r="C50" s="13">
        <f>'03 - SERVICES BASE'!C48</f>
        <v>0</v>
      </c>
      <c r="D50" s="23"/>
      <c r="E50" s="23"/>
      <c r="F50" s="23"/>
      <c r="G50" s="23"/>
      <c r="H50" s="23"/>
    </row>
    <row r="51" spans="2:8" x14ac:dyDescent="0.2">
      <c r="B51" s="23"/>
      <c r="C51" s="23"/>
      <c r="D51" s="23"/>
      <c r="E51" s="23"/>
      <c r="F51" s="23"/>
      <c r="G51" s="23"/>
      <c r="H51" s="23"/>
    </row>
    <row r="52" spans="2:8" x14ac:dyDescent="0.2">
      <c r="B52" s="23"/>
      <c r="C52" s="23"/>
      <c r="D52" s="23"/>
      <c r="E52" s="23"/>
      <c r="F52" s="23"/>
      <c r="G52" s="23"/>
      <c r="H52" s="23"/>
    </row>
    <row r="53" spans="2:8" x14ac:dyDescent="0.2">
      <c r="B53" s="23"/>
      <c r="C53" s="23"/>
      <c r="D53" s="23"/>
      <c r="E53" s="23"/>
      <c r="F53" s="23"/>
      <c r="G53" s="23"/>
      <c r="H53" s="23"/>
    </row>
    <row r="54" spans="2:8" x14ac:dyDescent="0.2">
      <c r="B54" s="23"/>
      <c r="C54" s="23"/>
      <c r="D54" s="23"/>
      <c r="E54" s="23"/>
      <c r="F54" s="23"/>
      <c r="G54" s="23"/>
      <c r="H54" s="23"/>
    </row>
    <row r="55" spans="2:8" x14ac:dyDescent="0.2">
      <c r="B55" s="23"/>
      <c r="C55" s="23"/>
      <c r="D55" s="23"/>
      <c r="E55" s="23"/>
      <c r="F55" s="23"/>
      <c r="G55" s="23"/>
      <c r="H55" s="23"/>
    </row>
    <row r="56" spans="2:8" x14ac:dyDescent="0.2">
      <c r="B56" s="23"/>
      <c r="C56" s="23"/>
      <c r="D56" s="23"/>
      <c r="E56" s="23"/>
      <c r="F56" s="23"/>
      <c r="G56" s="23"/>
      <c r="H56" s="23"/>
    </row>
    <row r="57" spans="2:8" x14ac:dyDescent="0.2">
      <c r="B57" s="23"/>
      <c r="C57" s="23"/>
      <c r="D57" s="23"/>
      <c r="E57" s="23"/>
      <c r="F57" s="23"/>
      <c r="G57" s="23"/>
      <c r="H57" s="23"/>
    </row>
    <row r="58" spans="2:8" x14ac:dyDescent="0.2">
      <c r="B58" s="23"/>
      <c r="C58" s="23"/>
      <c r="D58" s="23"/>
      <c r="E58" s="23"/>
      <c r="F58" s="23"/>
      <c r="G58" s="23"/>
      <c r="H58" s="23"/>
    </row>
    <row r="59" spans="2:8" x14ac:dyDescent="0.2">
      <c r="B59" s="23"/>
      <c r="C59" s="23"/>
      <c r="D59" s="23"/>
      <c r="E59" s="23"/>
      <c r="F59" s="23"/>
      <c r="G59" s="23"/>
      <c r="H59" s="23"/>
    </row>
    <row r="60" spans="2:8" x14ac:dyDescent="0.2">
      <c r="B60" s="23"/>
      <c r="C60" s="23"/>
      <c r="D60" s="23"/>
      <c r="E60" s="23"/>
      <c r="F60" s="23"/>
      <c r="G60" s="23"/>
      <c r="H60" s="23"/>
    </row>
    <row r="61" spans="2:8" x14ac:dyDescent="0.2">
      <c r="B61" s="23"/>
      <c r="C61" s="23"/>
      <c r="D61" s="23"/>
      <c r="E61" s="23"/>
      <c r="F61" s="23"/>
      <c r="G61" s="23"/>
      <c r="H61" s="23"/>
    </row>
    <row r="62" spans="2:8" x14ac:dyDescent="0.2">
      <c r="B62" s="23"/>
      <c r="C62" s="23"/>
      <c r="D62" s="23"/>
      <c r="E62" s="23"/>
      <c r="F62" s="23"/>
      <c r="G62" s="23"/>
      <c r="H62" s="23"/>
    </row>
    <row r="63" spans="2:8" x14ac:dyDescent="0.2">
      <c r="B63" s="23"/>
      <c r="C63" s="23"/>
      <c r="D63" s="23"/>
      <c r="E63" s="23"/>
      <c r="F63" s="23"/>
      <c r="G63" s="23"/>
      <c r="H63" s="23"/>
    </row>
    <row r="64" spans="2:8" x14ac:dyDescent="0.2">
      <c r="B64" s="23"/>
      <c r="C64" s="23"/>
      <c r="D64" s="23"/>
      <c r="E64" s="23"/>
      <c r="F64" s="23"/>
      <c r="G64" s="23"/>
      <c r="H64" s="23"/>
    </row>
    <row r="65" spans="2:8" x14ac:dyDescent="0.2">
      <c r="B65" s="23"/>
      <c r="C65" s="23"/>
      <c r="D65" s="23"/>
      <c r="E65" s="23"/>
      <c r="F65" s="23"/>
      <c r="G65" s="23"/>
      <c r="H65" s="23"/>
    </row>
    <row r="66" spans="2:8" x14ac:dyDescent="0.2">
      <c r="B66" s="23"/>
      <c r="C66" s="23"/>
      <c r="D66" s="23"/>
      <c r="E66" s="23"/>
      <c r="F66" s="23"/>
      <c r="G66" s="23"/>
      <c r="H66" s="23"/>
    </row>
    <row r="67" spans="2:8" x14ac:dyDescent="0.2">
      <c r="B67" s="23"/>
      <c r="C67" s="23"/>
      <c r="D67" s="23"/>
      <c r="E67" s="23"/>
      <c r="F67" s="23"/>
      <c r="G67" s="23"/>
      <c r="H67" s="23"/>
    </row>
    <row r="68" spans="2:8" x14ac:dyDescent="0.2">
      <c r="B68" s="23"/>
      <c r="C68" s="23"/>
      <c r="D68" s="23"/>
      <c r="E68" s="23"/>
      <c r="F68" s="23"/>
      <c r="G68" s="23"/>
      <c r="H68" s="23"/>
    </row>
    <row r="69" spans="2:8" x14ac:dyDescent="0.2">
      <c r="B69" s="23"/>
      <c r="C69" s="23"/>
      <c r="D69" s="23"/>
      <c r="E69" s="23"/>
      <c r="F69" s="23"/>
      <c r="G69" s="23"/>
      <c r="H69" s="23"/>
    </row>
    <row r="70" spans="2:8" x14ac:dyDescent="0.2">
      <c r="B70" s="23"/>
      <c r="C70" s="23"/>
      <c r="D70" s="23"/>
      <c r="E70" s="23"/>
      <c r="F70" s="23"/>
      <c r="G70" s="23"/>
      <c r="H70" s="23"/>
    </row>
    <row r="71" spans="2:8" x14ac:dyDescent="0.2">
      <c r="B71" s="23"/>
      <c r="C71" s="23"/>
      <c r="D71" s="23"/>
      <c r="E71" s="23"/>
      <c r="F71" s="23"/>
      <c r="G71" s="23"/>
      <c r="H71" s="23"/>
    </row>
    <row r="72" spans="2:8" x14ac:dyDescent="0.2">
      <c r="B72" s="23"/>
      <c r="C72" s="23"/>
      <c r="D72" s="23"/>
      <c r="E72" s="23"/>
      <c r="F72" s="23"/>
      <c r="G72" s="23"/>
      <c r="H72" s="23"/>
    </row>
    <row r="73" spans="2:8" x14ac:dyDescent="0.2">
      <c r="B73" s="23"/>
      <c r="C73" s="23"/>
      <c r="D73" s="23"/>
      <c r="E73" s="23"/>
      <c r="F73" s="23"/>
      <c r="G73" s="23"/>
      <c r="H73" s="23"/>
    </row>
    <row r="74" spans="2:8" x14ac:dyDescent="0.2">
      <c r="B74" s="23"/>
      <c r="C74" s="23"/>
      <c r="D74" s="23"/>
      <c r="E74" s="23"/>
      <c r="F74" s="23"/>
      <c r="G74" s="23"/>
      <c r="H74" s="23"/>
    </row>
    <row r="75" spans="2:8" x14ac:dyDescent="0.2">
      <c r="B75" s="23"/>
      <c r="C75" s="23"/>
      <c r="D75" s="23"/>
      <c r="E75" s="23"/>
      <c r="F75" s="23"/>
      <c r="G75" s="23"/>
      <c r="H75" s="23"/>
    </row>
    <row r="76" spans="2:8" x14ac:dyDescent="0.2">
      <c r="B76" s="23"/>
      <c r="C76" s="23"/>
      <c r="D76" s="23"/>
      <c r="E76" s="23"/>
      <c r="F76" s="23"/>
      <c r="G76" s="23"/>
      <c r="H76" s="23"/>
    </row>
    <row r="77" spans="2:8" x14ac:dyDescent="0.2">
      <c r="B77" s="23"/>
      <c r="C77" s="23"/>
      <c r="D77" s="23"/>
      <c r="E77" s="23"/>
      <c r="F77" s="23"/>
      <c r="G77" s="23"/>
      <c r="H77" s="23"/>
    </row>
    <row r="78" spans="2:8" x14ac:dyDescent="0.2">
      <c r="B78" s="23"/>
      <c r="C78" s="23"/>
      <c r="D78" s="23"/>
      <c r="E78" s="23"/>
      <c r="F78" s="23"/>
      <c r="G78" s="23"/>
      <c r="H78" s="23"/>
    </row>
    <row r="79" spans="2:8" x14ac:dyDescent="0.2">
      <c r="B79" s="23"/>
      <c r="C79" s="23"/>
      <c r="D79" s="23"/>
      <c r="E79" s="23"/>
      <c r="F79" s="23"/>
      <c r="G79" s="23"/>
      <c r="H79" s="23"/>
    </row>
    <row r="80" spans="2:8" x14ac:dyDescent="0.2">
      <c r="B80" s="23"/>
      <c r="C80" s="23"/>
      <c r="D80" s="23"/>
      <c r="E80" s="23"/>
      <c r="F80" s="23"/>
      <c r="G80" s="23"/>
      <c r="H80" s="23"/>
    </row>
    <row r="81" spans="2:8" x14ac:dyDescent="0.2">
      <c r="B81" s="23"/>
      <c r="C81" s="23"/>
      <c r="D81" s="23"/>
      <c r="E81" s="23"/>
      <c r="F81" s="23"/>
      <c r="G81" s="23"/>
      <c r="H81" s="23"/>
    </row>
    <row r="82" spans="2:8" x14ac:dyDescent="0.2">
      <c r="B82" s="23"/>
      <c r="C82" s="23"/>
      <c r="D82" s="23"/>
      <c r="E82" s="23"/>
      <c r="F82" s="23"/>
      <c r="G82" s="23"/>
      <c r="H82" s="23"/>
    </row>
    <row r="83" spans="2:8" x14ac:dyDescent="0.2">
      <c r="B83" s="23"/>
      <c r="C83" s="23"/>
      <c r="D83" s="23"/>
      <c r="E83" s="23"/>
      <c r="F83" s="23"/>
      <c r="G83" s="23"/>
      <c r="H83" s="23"/>
    </row>
    <row r="84" spans="2:8" x14ac:dyDescent="0.2">
      <c r="B84" s="23"/>
      <c r="C84" s="23"/>
      <c r="D84" s="23"/>
      <c r="E84" s="23"/>
      <c r="F84" s="23"/>
      <c r="G84" s="23"/>
      <c r="H84" s="23"/>
    </row>
    <row r="85" spans="2:8" x14ac:dyDescent="0.2">
      <c r="B85" s="23"/>
      <c r="C85" s="23"/>
      <c r="D85" s="23"/>
      <c r="E85" s="23"/>
      <c r="F85" s="23"/>
      <c r="G85" s="23"/>
      <c r="H85" s="23"/>
    </row>
    <row r="86" spans="2:8" x14ac:dyDescent="0.2">
      <c r="B86" s="23"/>
      <c r="C86" s="23"/>
      <c r="D86" s="23"/>
      <c r="E86" s="23"/>
      <c r="F86" s="23"/>
      <c r="G86" s="23"/>
      <c r="H86" s="23"/>
    </row>
    <row r="87" spans="2:8" x14ac:dyDescent="0.2">
      <c r="B87" s="23"/>
      <c r="C87" s="23"/>
      <c r="D87" s="23"/>
      <c r="E87" s="23"/>
      <c r="F87" s="23"/>
      <c r="G87" s="23"/>
      <c r="H87" s="23"/>
    </row>
    <row r="88" spans="2:8" x14ac:dyDescent="0.2">
      <c r="B88" s="23"/>
      <c r="C88" s="23"/>
      <c r="D88" s="23"/>
      <c r="E88" s="23"/>
      <c r="F88" s="23"/>
      <c r="G88" s="23"/>
      <c r="H88" s="23"/>
    </row>
    <row r="89" spans="2:8" x14ac:dyDescent="0.2">
      <c r="B89" s="23"/>
      <c r="C89" s="23"/>
      <c r="D89" s="23"/>
      <c r="E89" s="23"/>
      <c r="F89" s="23"/>
      <c r="G89" s="23"/>
      <c r="H89" s="23"/>
    </row>
    <row r="90" spans="2:8" x14ac:dyDescent="0.2">
      <c r="B90" s="23"/>
      <c r="C90" s="23"/>
      <c r="D90" s="23"/>
      <c r="E90" s="23"/>
      <c r="F90" s="23"/>
      <c r="G90" s="23"/>
      <c r="H90" s="23"/>
    </row>
    <row r="91" spans="2:8" x14ac:dyDescent="0.2">
      <c r="B91" s="23"/>
      <c r="C91" s="23"/>
      <c r="D91" s="23"/>
      <c r="E91" s="23"/>
      <c r="F91" s="23"/>
      <c r="G91" s="23"/>
      <c r="H91" s="23"/>
    </row>
    <row r="92" spans="2:8" x14ac:dyDescent="0.2">
      <c r="B92" s="23"/>
      <c r="C92" s="23"/>
      <c r="D92" s="23"/>
      <c r="E92" s="23"/>
      <c r="F92" s="23"/>
      <c r="G92" s="23"/>
      <c r="H92" s="23"/>
    </row>
    <row r="93" spans="2:8" x14ac:dyDescent="0.2">
      <c r="B93" s="23"/>
      <c r="C93" s="23"/>
      <c r="D93" s="23"/>
      <c r="E93" s="23"/>
      <c r="F93" s="23"/>
      <c r="G93" s="23"/>
      <c r="H93" s="23"/>
    </row>
    <row r="94" spans="2:8" x14ac:dyDescent="0.2">
      <c r="B94" s="23"/>
      <c r="C94" s="23"/>
      <c r="D94" s="23"/>
      <c r="E94" s="23"/>
      <c r="F94" s="23"/>
      <c r="G94" s="23"/>
      <c r="H94" s="23"/>
    </row>
    <row r="95" spans="2:8" x14ac:dyDescent="0.2">
      <c r="B95" s="23"/>
      <c r="C95" s="23"/>
      <c r="D95" s="23"/>
      <c r="E95" s="23"/>
      <c r="F95" s="23"/>
      <c r="G95" s="23"/>
      <c r="H95" s="23"/>
    </row>
    <row r="96" spans="2:8" x14ac:dyDescent="0.2">
      <c r="B96" s="23"/>
      <c r="C96" s="23"/>
      <c r="D96" s="23"/>
      <c r="E96" s="23"/>
      <c r="F96" s="23"/>
      <c r="G96" s="23"/>
      <c r="H96" s="23"/>
    </row>
    <row r="97" spans="2:8" x14ac:dyDescent="0.2">
      <c r="B97" s="23"/>
      <c r="C97" s="23"/>
      <c r="D97" s="23"/>
      <c r="E97" s="23"/>
      <c r="F97" s="23"/>
      <c r="G97" s="23"/>
      <c r="H97" s="23"/>
    </row>
    <row r="98" spans="2:8" x14ac:dyDescent="0.2">
      <c r="B98" s="23"/>
      <c r="C98" s="23"/>
      <c r="D98" s="23"/>
      <c r="E98" s="23"/>
      <c r="F98" s="23"/>
      <c r="G98" s="23"/>
      <c r="H98" s="23"/>
    </row>
    <row r="99" spans="2:8" x14ac:dyDescent="0.2">
      <c r="B99" s="23"/>
      <c r="C99" s="23"/>
      <c r="D99" s="23"/>
      <c r="E99" s="23"/>
      <c r="F99" s="23"/>
      <c r="G99" s="23"/>
      <c r="H99" s="23"/>
    </row>
    <row r="100" spans="2:8" x14ac:dyDescent="0.2">
      <c r="B100" s="23"/>
      <c r="C100" s="23"/>
      <c r="D100" s="23"/>
      <c r="E100" s="23"/>
      <c r="F100" s="23"/>
      <c r="G100" s="23"/>
      <c r="H100" s="23"/>
    </row>
    <row r="101" spans="2:8" x14ac:dyDescent="0.2">
      <c r="B101" s="23"/>
      <c r="C101" s="23"/>
      <c r="D101" s="23"/>
      <c r="E101" s="23"/>
      <c r="F101" s="23"/>
      <c r="G101" s="23"/>
      <c r="H101" s="23"/>
    </row>
    <row r="102" spans="2:8" x14ac:dyDescent="0.2">
      <c r="B102" s="23"/>
      <c r="C102" s="23"/>
      <c r="D102" s="23"/>
      <c r="E102" s="23"/>
      <c r="F102" s="23"/>
      <c r="G102" s="23"/>
      <c r="H102" s="23"/>
    </row>
    <row r="103" spans="2:8" x14ac:dyDescent="0.2">
      <c r="B103" s="23"/>
      <c r="C103" s="23"/>
      <c r="D103" s="23"/>
      <c r="E103" s="23"/>
      <c r="F103" s="23"/>
      <c r="G103" s="23"/>
      <c r="H103" s="23"/>
    </row>
    <row r="104" spans="2:8" x14ac:dyDescent="0.2">
      <c r="B104" s="23"/>
      <c r="C104" s="23"/>
      <c r="D104" s="23"/>
      <c r="E104" s="23"/>
      <c r="F104" s="23"/>
      <c r="G104" s="23"/>
      <c r="H104" s="23"/>
    </row>
    <row r="105" spans="2:8" x14ac:dyDescent="0.2">
      <c r="B105" s="23"/>
      <c r="C105" s="23"/>
      <c r="D105" s="23"/>
      <c r="E105" s="23"/>
      <c r="F105" s="23"/>
      <c r="G105" s="23"/>
      <c r="H105" s="23"/>
    </row>
    <row r="106" spans="2:8" x14ac:dyDescent="0.2">
      <c r="B106" s="23"/>
      <c r="C106" s="23"/>
      <c r="D106" s="23"/>
      <c r="E106" s="23"/>
      <c r="F106" s="23"/>
      <c r="G106" s="23"/>
      <c r="H106" s="23"/>
    </row>
    <row r="107" spans="2:8" x14ac:dyDescent="0.2">
      <c r="B107" s="23"/>
      <c r="C107" s="23"/>
      <c r="D107" s="23"/>
      <c r="E107" s="23"/>
      <c r="F107" s="23"/>
      <c r="G107" s="23"/>
      <c r="H107" s="23"/>
    </row>
    <row r="108" spans="2:8" x14ac:dyDescent="0.2">
      <c r="B108" s="23"/>
      <c r="C108" s="23"/>
      <c r="D108" s="23"/>
      <c r="E108" s="23"/>
      <c r="F108" s="23"/>
      <c r="G108" s="23"/>
      <c r="H108" s="23"/>
    </row>
    <row r="109" spans="2:8" x14ac:dyDescent="0.2">
      <c r="B109" s="23"/>
      <c r="C109" s="23"/>
      <c r="D109" s="23"/>
      <c r="E109" s="23"/>
      <c r="F109" s="23"/>
      <c r="G109" s="23"/>
      <c r="H109" s="23"/>
    </row>
    <row r="110" spans="2:8" x14ac:dyDescent="0.2">
      <c r="B110" s="23"/>
      <c r="C110" s="23"/>
      <c r="D110" s="23"/>
      <c r="E110" s="23"/>
      <c r="F110" s="23"/>
      <c r="G110" s="23"/>
      <c r="H110" s="23"/>
    </row>
    <row r="111" spans="2:8" x14ac:dyDescent="0.2">
      <c r="B111" s="23"/>
      <c r="C111" s="23"/>
      <c r="D111" s="23"/>
      <c r="E111" s="23"/>
      <c r="F111" s="23"/>
      <c r="G111" s="23"/>
      <c r="H111" s="23"/>
    </row>
    <row r="112" spans="2:8" x14ac:dyDescent="0.2">
      <c r="B112" s="23"/>
      <c r="C112" s="23"/>
      <c r="D112" s="23"/>
      <c r="E112" s="23"/>
      <c r="F112" s="23"/>
      <c r="G112" s="23"/>
      <c r="H112" s="23"/>
    </row>
    <row r="113" spans="2:8" x14ac:dyDescent="0.2">
      <c r="B113" s="23"/>
      <c r="C113" s="23"/>
      <c r="D113" s="23"/>
      <c r="E113" s="23"/>
      <c r="F113" s="23"/>
      <c r="G113" s="23"/>
      <c r="H113" s="23"/>
    </row>
    <row r="114" spans="2:8" x14ac:dyDescent="0.2">
      <c r="B114" s="23"/>
      <c r="C114" s="23"/>
      <c r="D114" s="23"/>
      <c r="E114" s="23"/>
      <c r="F114" s="23"/>
      <c r="G114" s="23"/>
      <c r="H114" s="23"/>
    </row>
    <row r="115" spans="2:8" x14ac:dyDescent="0.2">
      <c r="B115" s="23"/>
      <c r="C115" s="23"/>
      <c r="D115" s="23"/>
      <c r="E115" s="23"/>
      <c r="F115" s="23"/>
      <c r="G115" s="23"/>
      <c r="H115" s="23"/>
    </row>
    <row r="116" spans="2:8" x14ac:dyDescent="0.2">
      <c r="B116" s="23"/>
      <c r="C116" s="23"/>
      <c r="D116" s="23"/>
      <c r="E116" s="23"/>
      <c r="F116" s="23"/>
      <c r="G116" s="23"/>
      <c r="H116" s="23"/>
    </row>
    <row r="117" spans="2:8" x14ac:dyDescent="0.2">
      <c r="B117" s="23"/>
      <c r="C117" s="23"/>
      <c r="D117" s="23"/>
      <c r="E117" s="23"/>
      <c r="F117" s="23"/>
      <c r="G117" s="23"/>
      <c r="H117" s="23"/>
    </row>
    <row r="118" spans="2:8" x14ac:dyDescent="0.2">
      <c r="B118" s="23"/>
      <c r="C118" s="23"/>
      <c r="D118" s="23"/>
      <c r="E118" s="23"/>
      <c r="F118" s="23"/>
      <c r="G118" s="23"/>
      <c r="H118" s="23"/>
    </row>
    <row r="119" spans="2:8" x14ac:dyDescent="0.2">
      <c r="B119" s="23"/>
      <c r="C119" s="23"/>
      <c r="D119" s="23"/>
      <c r="E119" s="23"/>
      <c r="F119" s="23"/>
      <c r="G119" s="23"/>
      <c r="H119" s="23"/>
    </row>
    <row r="120" spans="2:8" x14ac:dyDescent="0.2">
      <c r="B120" s="23"/>
      <c r="C120" s="23"/>
      <c r="D120" s="23"/>
      <c r="E120" s="23"/>
      <c r="F120" s="23"/>
      <c r="G120" s="23"/>
      <c r="H120" s="23"/>
    </row>
    <row r="121" spans="2:8" x14ac:dyDescent="0.2">
      <c r="B121" s="23"/>
      <c r="C121" s="23"/>
      <c r="D121" s="23"/>
      <c r="E121" s="23"/>
      <c r="F121" s="23"/>
      <c r="G121" s="23"/>
      <c r="H121" s="23"/>
    </row>
    <row r="122" spans="2:8" x14ac:dyDescent="0.2">
      <c r="B122" s="23"/>
      <c r="C122" s="23"/>
      <c r="D122" s="23"/>
      <c r="E122" s="23"/>
      <c r="F122" s="23"/>
      <c r="G122" s="23"/>
      <c r="H122" s="23"/>
    </row>
    <row r="123" spans="2:8" x14ac:dyDescent="0.2">
      <c r="B123" s="23"/>
      <c r="C123" s="23"/>
      <c r="D123" s="23"/>
      <c r="E123" s="23"/>
      <c r="F123" s="23"/>
      <c r="G123" s="23"/>
      <c r="H123" s="23"/>
    </row>
    <row r="124" spans="2:8" x14ac:dyDescent="0.2">
      <c r="B124" s="23"/>
      <c r="C124" s="23"/>
      <c r="D124" s="23"/>
      <c r="E124" s="23"/>
      <c r="F124" s="23"/>
      <c r="G124" s="23"/>
      <c r="H124" s="23"/>
    </row>
    <row r="125" spans="2:8" x14ac:dyDescent="0.2">
      <c r="B125" s="23"/>
      <c r="C125" s="23"/>
      <c r="D125" s="23"/>
      <c r="E125" s="23"/>
      <c r="F125" s="23"/>
      <c r="G125" s="23"/>
      <c r="H125" s="23"/>
    </row>
    <row r="126" spans="2:8" x14ac:dyDescent="0.2">
      <c r="B126" s="23"/>
      <c r="C126" s="23"/>
      <c r="D126" s="23"/>
      <c r="E126" s="23"/>
      <c r="F126" s="23"/>
      <c r="G126" s="23"/>
      <c r="H126" s="23"/>
    </row>
    <row r="127" spans="2:8" x14ac:dyDescent="0.2">
      <c r="B127" s="23"/>
      <c r="C127" s="23"/>
      <c r="D127" s="23"/>
      <c r="E127" s="23"/>
      <c r="F127" s="23"/>
      <c r="G127" s="23"/>
      <c r="H127" s="23"/>
    </row>
    <row r="128" spans="2:8" x14ac:dyDescent="0.2">
      <c r="B128" s="23"/>
      <c r="C128" s="23"/>
      <c r="D128" s="23"/>
      <c r="E128" s="23"/>
      <c r="F128" s="23"/>
      <c r="G128" s="23"/>
      <c r="H128" s="23"/>
    </row>
    <row r="129" spans="2:8" x14ac:dyDescent="0.2">
      <c r="B129" s="23"/>
      <c r="C129" s="23"/>
      <c r="D129" s="23"/>
      <c r="E129" s="23"/>
      <c r="F129" s="23"/>
      <c r="G129" s="23"/>
      <c r="H129" s="23"/>
    </row>
    <row r="130" spans="2:8" x14ac:dyDescent="0.2">
      <c r="B130" s="23"/>
      <c r="C130" s="23"/>
      <c r="D130" s="23"/>
      <c r="E130" s="23"/>
      <c r="F130" s="23"/>
      <c r="G130" s="23"/>
      <c r="H130" s="23"/>
    </row>
    <row r="131" spans="2:8" x14ac:dyDescent="0.2">
      <c r="B131" s="23"/>
      <c r="C131" s="23"/>
      <c r="D131" s="23"/>
      <c r="E131" s="23"/>
      <c r="F131" s="23"/>
      <c r="G131" s="23"/>
      <c r="H131" s="23"/>
    </row>
    <row r="132" spans="2:8" x14ac:dyDescent="0.2">
      <c r="B132" s="23"/>
      <c r="C132" s="23"/>
      <c r="D132" s="23"/>
      <c r="E132" s="23"/>
      <c r="F132" s="23"/>
      <c r="G132" s="23"/>
      <c r="H132" s="23"/>
    </row>
    <row r="133" spans="2:8" x14ac:dyDescent="0.2">
      <c r="B133" s="23"/>
      <c r="C133" s="23"/>
      <c r="D133" s="23"/>
      <c r="E133" s="23"/>
      <c r="F133" s="23"/>
      <c r="G133" s="23"/>
      <c r="H133" s="23"/>
    </row>
    <row r="134" spans="2:8" x14ac:dyDescent="0.2">
      <c r="B134" s="23"/>
      <c r="C134" s="23"/>
      <c r="D134" s="23"/>
      <c r="E134" s="23"/>
      <c r="F134" s="23"/>
      <c r="G134" s="23"/>
      <c r="H134" s="23"/>
    </row>
    <row r="135" spans="2:8" x14ac:dyDescent="0.2">
      <c r="B135" s="23"/>
      <c r="C135" s="23"/>
      <c r="D135" s="23"/>
      <c r="E135" s="23"/>
      <c r="F135" s="23"/>
      <c r="G135" s="23"/>
      <c r="H135" s="23"/>
    </row>
    <row r="136" spans="2:8" x14ac:dyDescent="0.2">
      <c r="B136" s="23"/>
      <c r="C136" s="23"/>
      <c r="D136" s="23"/>
      <c r="E136" s="23"/>
      <c r="F136" s="23"/>
      <c r="G136" s="23"/>
      <c r="H136" s="23"/>
    </row>
    <row r="137" spans="2:8" x14ac:dyDescent="0.2">
      <c r="B137" s="23"/>
      <c r="C137" s="23"/>
      <c r="D137" s="23"/>
      <c r="E137" s="23"/>
      <c r="F137" s="23"/>
      <c r="G137" s="23"/>
      <c r="H137" s="23"/>
    </row>
    <row r="138" spans="2:8" x14ac:dyDescent="0.2">
      <c r="B138" s="23"/>
      <c r="C138" s="23"/>
      <c r="D138" s="23"/>
      <c r="E138" s="23"/>
      <c r="F138" s="23"/>
      <c r="G138" s="23"/>
      <c r="H138" s="23"/>
    </row>
    <row r="139" spans="2:8" x14ac:dyDescent="0.2">
      <c r="B139" s="23"/>
      <c r="C139" s="23"/>
      <c r="D139" s="23"/>
      <c r="E139" s="23"/>
      <c r="F139" s="23"/>
      <c r="G139" s="23"/>
      <c r="H139" s="23"/>
    </row>
    <row r="140" spans="2:8" x14ac:dyDescent="0.2">
      <c r="B140" s="23"/>
      <c r="C140" s="23"/>
      <c r="D140" s="23"/>
      <c r="E140" s="23"/>
      <c r="F140" s="23"/>
      <c r="G140" s="23"/>
      <c r="H140" s="23"/>
    </row>
    <row r="141" spans="2:8" x14ac:dyDescent="0.2">
      <c r="B141" s="23"/>
      <c r="C141" s="23"/>
      <c r="D141" s="23"/>
      <c r="E141" s="23"/>
      <c r="F141" s="23"/>
      <c r="G141" s="23"/>
      <c r="H141" s="23"/>
    </row>
    <row r="142" spans="2:8" x14ac:dyDescent="0.2">
      <c r="B142" s="23"/>
      <c r="C142" s="23"/>
      <c r="D142" s="23"/>
      <c r="E142" s="23"/>
      <c r="F142" s="23"/>
      <c r="G142" s="23"/>
      <c r="H142" s="23"/>
    </row>
    <row r="143" spans="2:8" x14ac:dyDescent="0.2">
      <c r="B143" s="23"/>
      <c r="C143" s="23"/>
      <c r="D143" s="23"/>
      <c r="E143" s="23"/>
      <c r="F143" s="23"/>
      <c r="G143" s="23"/>
      <c r="H143" s="23"/>
    </row>
    <row r="144" spans="2:8" x14ac:dyDescent="0.2">
      <c r="B144" s="23"/>
      <c r="C144" s="23"/>
      <c r="D144" s="23"/>
      <c r="E144" s="23"/>
      <c r="F144" s="23"/>
      <c r="G144" s="23"/>
      <c r="H144" s="23"/>
    </row>
    <row r="145" spans="2:8" x14ac:dyDescent="0.2">
      <c r="B145" s="23"/>
      <c r="C145" s="23"/>
      <c r="D145" s="23"/>
      <c r="E145" s="23"/>
      <c r="F145" s="23"/>
      <c r="G145" s="23"/>
      <c r="H145" s="23"/>
    </row>
    <row r="146" spans="2:8" x14ac:dyDescent="0.2">
      <c r="B146" s="23"/>
      <c r="C146" s="23"/>
      <c r="D146" s="23"/>
      <c r="E146" s="23"/>
      <c r="F146" s="23"/>
      <c r="G146" s="23"/>
      <c r="H146" s="23"/>
    </row>
    <row r="147" spans="2:8" x14ac:dyDescent="0.2">
      <c r="B147" s="23"/>
      <c r="C147" s="23"/>
      <c r="D147" s="23"/>
      <c r="E147" s="23"/>
      <c r="F147" s="23"/>
      <c r="G147" s="23"/>
      <c r="H147" s="23"/>
    </row>
    <row r="148" spans="2:8" x14ac:dyDescent="0.2">
      <c r="B148" s="23"/>
      <c r="C148" s="23"/>
      <c r="D148" s="23"/>
      <c r="E148" s="23"/>
      <c r="F148" s="23"/>
      <c r="G148" s="23"/>
      <c r="H148" s="23"/>
    </row>
    <row r="149" spans="2:8" x14ac:dyDescent="0.2">
      <c r="B149" s="23"/>
      <c r="C149" s="23"/>
      <c r="D149" s="23"/>
      <c r="E149" s="23"/>
      <c r="F149" s="23"/>
      <c r="G149" s="23"/>
      <c r="H149" s="23"/>
    </row>
    <row r="150" spans="2:8" x14ac:dyDescent="0.2">
      <c r="B150" s="23"/>
      <c r="C150" s="23"/>
      <c r="D150" s="23"/>
      <c r="E150" s="23"/>
      <c r="F150" s="23"/>
      <c r="G150" s="23"/>
      <c r="H150" s="23"/>
    </row>
    <row r="151" spans="2:8" x14ac:dyDescent="0.2">
      <c r="B151" s="23"/>
      <c r="C151" s="23"/>
      <c r="D151" s="23"/>
      <c r="E151" s="23"/>
      <c r="F151" s="23"/>
      <c r="G151" s="23"/>
      <c r="H151" s="23"/>
    </row>
    <row r="152" spans="2:8" x14ac:dyDescent="0.2">
      <c r="B152" s="23"/>
      <c r="C152" s="23"/>
      <c r="D152" s="23"/>
      <c r="E152" s="23"/>
      <c r="F152" s="23"/>
      <c r="G152" s="23"/>
      <c r="H152" s="23"/>
    </row>
    <row r="153" spans="2:8" x14ac:dyDescent="0.2">
      <c r="B153" s="23"/>
      <c r="C153" s="23"/>
      <c r="D153" s="23"/>
      <c r="E153" s="23"/>
      <c r="F153" s="23"/>
      <c r="G153" s="23"/>
      <c r="H153" s="23"/>
    </row>
    <row r="154" spans="2:8" x14ac:dyDescent="0.2">
      <c r="B154" s="23"/>
      <c r="C154" s="23"/>
      <c r="D154" s="23"/>
      <c r="E154" s="23"/>
      <c r="F154" s="23"/>
      <c r="G154" s="23"/>
      <c r="H154" s="23"/>
    </row>
    <row r="155" spans="2:8" x14ac:dyDescent="0.2">
      <c r="B155" s="23"/>
      <c r="C155" s="23"/>
      <c r="D155" s="23"/>
      <c r="E155" s="23"/>
      <c r="F155" s="23"/>
      <c r="G155" s="23"/>
      <c r="H155" s="23"/>
    </row>
    <row r="156" spans="2:8" x14ac:dyDescent="0.2">
      <c r="B156" s="23"/>
      <c r="C156" s="23"/>
      <c r="D156" s="23"/>
      <c r="E156" s="23"/>
      <c r="F156" s="23"/>
      <c r="G156" s="23"/>
      <c r="H156" s="23"/>
    </row>
    <row r="157" spans="2:8" x14ac:dyDescent="0.2">
      <c r="B157" s="23"/>
      <c r="C157" s="23"/>
      <c r="D157" s="23"/>
      <c r="E157" s="23"/>
      <c r="F157" s="23"/>
      <c r="G157" s="23"/>
      <c r="H157" s="23"/>
    </row>
    <row r="158" spans="2:8" x14ac:dyDescent="0.2">
      <c r="B158" s="23"/>
      <c r="C158" s="23"/>
      <c r="D158" s="23"/>
      <c r="E158" s="23"/>
      <c r="F158" s="23"/>
      <c r="G158" s="23"/>
      <c r="H158" s="23"/>
    </row>
    <row r="159" spans="2:8" x14ac:dyDescent="0.2">
      <c r="B159" s="23"/>
      <c r="C159" s="23"/>
      <c r="D159" s="23"/>
      <c r="E159" s="23"/>
      <c r="F159" s="23"/>
      <c r="G159" s="23"/>
      <c r="H159" s="23"/>
    </row>
    <row r="160" spans="2:8" x14ac:dyDescent="0.2">
      <c r="B160" s="23"/>
      <c r="C160" s="23"/>
      <c r="D160" s="23"/>
      <c r="E160" s="23"/>
      <c r="F160" s="23"/>
      <c r="G160" s="23"/>
      <c r="H160" s="23"/>
    </row>
    <row r="161" spans="2:8" x14ac:dyDescent="0.2">
      <c r="B161" s="23"/>
      <c r="C161" s="23"/>
      <c r="D161" s="23"/>
      <c r="E161" s="23"/>
      <c r="F161" s="23"/>
      <c r="G161" s="23"/>
      <c r="H161" s="23"/>
    </row>
    <row r="162" spans="2:8" x14ac:dyDescent="0.2">
      <c r="B162" s="23"/>
      <c r="C162" s="23"/>
      <c r="D162" s="23"/>
      <c r="E162" s="23"/>
      <c r="F162" s="23"/>
      <c r="G162" s="23"/>
      <c r="H162" s="23"/>
    </row>
    <row r="163" spans="2:8" x14ac:dyDescent="0.2">
      <c r="B163" s="23"/>
      <c r="C163" s="23"/>
      <c r="D163" s="23"/>
      <c r="E163" s="23"/>
      <c r="F163" s="23"/>
      <c r="G163" s="23"/>
      <c r="H163" s="23"/>
    </row>
    <row r="164" spans="2:8" x14ac:dyDescent="0.2">
      <c r="B164" s="23"/>
      <c r="C164" s="23"/>
      <c r="D164" s="23"/>
      <c r="E164" s="23"/>
      <c r="F164" s="23"/>
      <c r="G164" s="23"/>
      <c r="H164" s="23"/>
    </row>
    <row r="165" spans="2:8" x14ac:dyDescent="0.2">
      <c r="B165" s="23"/>
      <c r="C165" s="23"/>
      <c r="D165" s="23"/>
      <c r="E165" s="23"/>
      <c r="F165" s="23"/>
      <c r="G165" s="23"/>
      <c r="H165" s="23"/>
    </row>
    <row r="166" spans="2:8" x14ac:dyDescent="0.2">
      <c r="B166" s="23"/>
      <c r="C166" s="23"/>
      <c r="D166" s="23"/>
      <c r="E166" s="23"/>
      <c r="F166" s="23"/>
      <c r="G166" s="23"/>
      <c r="H166" s="23"/>
    </row>
    <row r="167" spans="2:8" x14ac:dyDescent="0.2">
      <c r="B167" s="23"/>
      <c r="C167" s="23"/>
      <c r="D167" s="23"/>
      <c r="E167" s="23"/>
      <c r="F167" s="23"/>
      <c r="G167" s="23"/>
      <c r="H167" s="23"/>
    </row>
    <row r="168" spans="2:8" x14ac:dyDescent="0.2">
      <c r="B168" s="23"/>
      <c r="C168" s="23"/>
      <c r="D168" s="23"/>
      <c r="E168" s="23"/>
      <c r="F168" s="23"/>
      <c r="G168" s="23"/>
      <c r="H168" s="23"/>
    </row>
    <row r="169" spans="2:8" x14ac:dyDescent="0.2">
      <c r="B169" s="23"/>
      <c r="C169" s="23"/>
      <c r="D169" s="23"/>
      <c r="E169" s="23"/>
      <c r="F169" s="23"/>
      <c r="G169" s="23"/>
      <c r="H169" s="23"/>
    </row>
    <row r="170" spans="2:8" x14ac:dyDescent="0.2">
      <c r="B170" s="23"/>
      <c r="C170" s="23"/>
      <c r="D170" s="23"/>
      <c r="E170" s="23"/>
      <c r="F170" s="23"/>
      <c r="G170" s="23"/>
      <c r="H170" s="23"/>
    </row>
    <row r="171" spans="2:8" x14ac:dyDescent="0.2">
      <c r="B171" s="23"/>
      <c r="C171" s="23"/>
      <c r="D171" s="23"/>
      <c r="E171" s="23"/>
      <c r="F171" s="23"/>
      <c r="G171" s="23"/>
      <c r="H171" s="23"/>
    </row>
    <row r="172" spans="2:8" x14ac:dyDescent="0.2">
      <c r="B172" s="23"/>
      <c r="C172" s="23"/>
      <c r="D172" s="23"/>
      <c r="E172" s="23"/>
      <c r="F172" s="23"/>
      <c r="G172" s="23"/>
      <c r="H172" s="23"/>
    </row>
    <row r="173" spans="2:8" x14ac:dyDescent="0.2">
      <c r="B173" s="23"/>
      <c r="C173" s="23"/>
      <c r="D173" s="23"/>
      <c r="E173" s="23"/>
      <c r="F173" s="23"/>
      <c r="G173" s="23"/>
      <c r="H173" s="23"/>
    </row>
    <row r="174" spans="2:8" x14ac:dyDescent="0.2">
      <c r="B174" s="23"/>
      <c r="C174" s="23"/>
      <c r="D174" s="23"/>
      <c r="E174" s="23"/>
      <c r="F174" s="23"/>
      <c r="G174" s="23"/>
      <c r="H174" s="23"/>
    </row>
    <row r="175" spans="2:8" x14ac:dyDescent="0.2">
      <c r="B175" s="23"/>
      <c r="C175" s="23"/>
      <c r="D175" s="23"/>
      <c r="E175" s="23"/>
      <c r="F175" s="23"/>
      <c r="G175" s="23"/>
      <c r="H175" s="23"/>
    </row>
    <row r="176" spans="2:8" x14ac:dyDescent="0.2">
      <c r="B176" s="23"/>
      <c r="C176" s="23"/>
      <c r="D176" s="23"/>
      <c r="E176" s="23"/>
      <c r="F176" s="23"/>
      <c r="G176" s="23"/>
      <c r="H176" s="23"/>
    </row>
    <row r="177" spans="2:8" x14ac:dyDescent="0.2">
      <c r="B177" s="23"/>
      <c r="C177" s="23"/>
      <c r="D177" s="23"/>
      <c r="E177" s="23"/>
      <c r="F177" s="23"/>
      <c r="G177" s="23"/>
      <c r="H177" s="23"/>
    </row>
    <row r="178" spans="2:8" x14ac:dyDescent="0.2">
      <c r="B178" s="23"/>
      <c r="C178" s="23"/>
      <c r="D178" s="23"/>
      <c r="E178" s="23"/>
      <c r="F178" s="23"/>
      <c r="G178" s="23"/>
      <c r="H178" s="23"/>
    </row>
    <row r="179" spans="2:8" x14ac:dyDescent="0.2">
      <c r="B179" s="23"/>
      <c r="C179" s="23"/>
      <c r="D179" s="23"/>
      <c r="E179" s="23"/>
      <c r="F179" s="23"/>
      <c r="G179" s="23"/>
      <c r="H179" s="23"/>
    </row>
    <row r="180" spans="2:8" x14ac:dyDescent="0.2">
      <c r="B180" s="23"/>
      <c r="C180" s="23"/>
      <c r="D180" s="23"/>
      <c r="E180" s="23"/>
      <c r="F180" s="23"/>
      <c r="G180" s="23"/>
      <c r="H180" s="23"/>
    </row>
    <row r="181" spans="2:8" x14ac:dyDescent="0.2">
      <c r="B181" s="23"/>
      <c r="C181" s="23"/>
      <c r="D181" s="23"/>
      <c r="E181" s="23"/>
      <c r="F181" s="23"/>
      <c r="G181" s="23"/>
      <c r="H181" s="23"/>
    </row>
    <row r="182" spans="2:8" x14ac:dyDescent="0.2">
      <c r="B182" s="23"/>
      <c r="C182" s="23"/>
      <c r="D182" s="23"/>
      <c r="E182" s="23"/>
      <c r="F182" s="23"/>
      <c r="G182" s="23"/>
      <c r="H182" s="23"/>
    </row>
    <row r="183" spans="2:8" x14ac:dyDescent="0.2">
      <c r="B183" s="23"/>
      <c r="C183" s="23"/>
      <c r="D183" s="23"/>
      <c r="E183" s="23"/>
      <c r="F183" s="23"/>
      <c r="G183" s="23"/>
      <c r="H183" s="23"/>
    </row>
    <row r="184" spans="2:8" x14ac:dyDescent="0.2">
      <c r="B184" s="23"/>
      <c r="C184" s="23"/>
      <c r="D184" s="23"/>
      <c r="E184" s="23"/>
      <c r="F184" s="23"/>
      <c r="G184" s="23"/>
      <c r="H184" s="23"/>
    </row>
    <row r="185" spans="2:8" x14ac:dyDescent="0.2">
      <c r="B185" s="23"/>
      <c r="C185" s="23"/>
      <c r="D185" s="23"/>
      <c r="E185" s="23"/>
      <c r="F185" s="23"/>
      <c r="G185" s="23"/>
      <c r="H185" s="23"/>
    </row>
    <row r="186" spans="2:8" x14ac:dyDescent="0.2">
      <c r="B186" s="23"/>
      <c r="C186" s="23"/>
      <c r="D186" s="23"/>
      <c r="E186" s="23"/>
      <c r="F186" s="23"/>
      <c r="G186" s="23"/>
      <c r="H186" s="23"/>
    </row>
    <row r="187" spans="2:8" x14ac:dyDescent="0.2">
      <c r="B187" s="23"/>
      <c r="C187" s="23"/>
      <c r="D187" s="23"/>
      <c r="E187" s="23"/>
      <c r="F187" s="23"/>
      <c r="G187" s="23"/>
      <c r="H187" s="23"/>
    </row>
    <row r="188" spans="2:8" x14ac:dyDescent="0.2">
      <c r="B188" s="23"/>
      <c r="C188" s="23"/>
      <c r="D188" s="23"/>
      <c r="E188" s="23"/>
      <c r="F188" s="23"/>
      <c r="G188" s="23"/>
      <c r="H188" s="23"/>
    </row>
    <row r="189" spans="2:8" x14ac:dyDescent="0.2">
      <c r="B189" s="23"/>
      <c r="C189" s="23"/>
      <c r="D189" s="23"/>
      <c r="E189" s="23"/>
      <c r="F189" s="23"/>
      <c r="G189" s="23"/>
      <c r="H189" s="23"/>
    </row>
    <row r="190" spans="2:8" x14ac:dyDescent="0.2">
      <c r="B190" s="23"/>
      <c r="C190" s="23"/>
      <c r="D190" s="23"/>
      <c r="E190" s="23"/>
      <c r="F190" s="23"/>
      <c r="G190" s="23"/>
      <c r="H190" s="23"/>
    </row>
    <row r="191" spans="2:8" x14ac:dyDescent="0.2">
      <c r="B191" s="23"/>
      <c r="C191" s="23"/>
      <c r="D191" s="23"/>
      <c r="E191" s="23"/>
      <c r="F191" s="23"/>
      <c r="G191" s="23"/>
      <c r="H191" s="23"/>
    </row>
    <row r="192" spans="2:8" x14ac:dyDescent="0.2">
      <c r="B192" s="23"/>
      <c r="C192" s="23"/>
      <c r="D192" s="23"/>
      <c r="E192" s="23"/>
      <c r="F192" s="23"/>
      <c r="G192" s="23"/>
      <c r="H192" s="23"/>
    </row>
    <row r="193" spans="2:8" x14ac:dyDescent="0.2">
      <c r="B193" s="23"/>
      <c r="C193" s="23"/>
      <c r="D193" s="23"/>
      <c r="E193" s="23"/>
      <c r="F193" s="23"/>
      <c r="G193" s="23"/>
      <c r="H193" s="23"/>
    </row>
    <row r="194" spans="2:8" x14ac:dyDescent="0.2">
      <c r="B194" s="23"/>
      <c r="C194" s="23"/>
      <c r="D194" s="23"/>
      <c r="E194" s="23"/>
      <c r="F194" s="23"/>
      <c r="G194" s="23"/>
      <c r="H194" s="23"/>
    </row>
    <row r="195" spans="2:8" x14ac:dyDescent="0.2">
      <c r="B195" s="23"/>
      <c r="C195" s="23"/>
      <c r="D195" s="23"/>
      <c r="E195" s="23"/>
      <c r="F195" s="23"/>
      <c r="G195" s="23"/>
      <c r="H195" s="23"/>
    </row>
    <row r="196" spans="2:8" x14ac:dyDescent="0.2">
      <c r="B196" s="23"/>
      <c r="C196" s="23"/>
      <c r="D196" s="23"/>
      <c r="E196" s="23"/>
      <c r="F196" s="23"/>
      <c r="G196" s="23"/>
      <c r="H196" s="23"/>
    </row>
    <row r="197" spans="2:8" x14ac:dyDescent="0.2">
      <c r="B197" s="23"/>
      <c r="C197" s="23"/>
      <c r="D197" s="23"/>
      <c r="E197" s="23"/>
      <c r="F197" s="23"/>
      <c r="G197" s="23"/>
      <c r="H197" s="23"/>
    </row>
    <row r="198" spans="2:8" x14ac:dyDescent="0.2">
      <c r="B198" s="23"/>
      <c r="C198" s="23"/>
      <c r="D198" s="23"/>
      <c r="E198" s="23"/>
      <c r="F198" s="23"/>
      <c r="G198" s="23"/>
      <c r="H198" s="23"/>
    </row>
    <row r="199" spans="2:8" x14ac:dyDescent="0.2">
      <c r="B199" s="23"/>
      <c r="C199" s="23"/>
      <c r="D199" s="23"/>
      <c r="E199" s="23"/>
      <c r="F199" s="23"/>
      <c r="G199" s="23"/>
      <c r="H199" s="23"/>
    </row>
    <row r="200" spans="2:8" x14ac:dyDescent="0.2">
      <c r="B200" s="23"/>
      <c r="C200" s="23"/>
      <c r="D200" s="23"/>
      <c r="E200" s="23"/>
      <c r="F200" s="23"/>
      <c r="G200" s="23"/>
      <c r="H200" s="23"/>
    </row>
    <row r="201" spans="2:8" x14ac:dyDescent="0.2">
      <c r="B201" s="23"/>
      <c r="C201" s="23"/>
      <c r="D201" s="23"/>
      <c r="E201" s="23"/>
      <c r="F201" s="23"/>
      <c r="G201" s="23"/>
      <c r="H201" s="23"/>
    </row>
    <row r="202" spans="2:8" x14ac:dyDescent="0.2">
      <c r="B202" s="23"/>
      <c r="C202" s="23"/>
      <c r="D202" s="23"/>
      <c r="E202" s="23"/>
      <c r="F202" s="23"/>
      <c r="G202" s="23"/>
      <c r="H202" s="23"/>
    </row>
    <row r="203" spans="2:8" x14ac:dyDescent="0.2">
      <c r="B203" s="23"/>
      <c r="C203" s="23"/>
      <c r="D203" s="23"/>
      <c r="E203" s="23"/>
      <c r="F203" s="23"/>
      <c r="G203" s="23"/>
      <c r="H203" s="23"/>
    </row>
    <row r="204" spans="2:8" x14ac:dyDescent="0.2">
      <c r="B204" s="23"/>
      <c r="C204" s="23"/>
      <c r="D204" s="23"/>
      <c r="E204" s="23"/>
      <c r="F204" s="23"/>
      <c r="G204" s="23"/>
      <c r="H204" s="23"/>
    </row>
    <row r="205" spans="2:8" x14ac:dyDescent="0.2">
      <c r="B205" s="23"/>
      <c r="C205" s="23"/>
      <c r="D205" s="23"/>
      <c r="E205" s="23"/>
      <c r="F205" s="23"/>
      <c r="G205" s="23"/>
      <c r="H205" s="23"/>
    </row>
    <row r="206" spans="2:8" x14ac:dyDescent="0.2">
      <c r="B206" s="23"/>
      <c r="C206" s="23"/>
      <c r="D206" s="23"/>
      <c r="E206" s="23"/>
      <c r="F206" s="23"/>
      <c r="G206" s="23"/>
      <c r="H206" s="23"/>
    </row>
    <row r="207" spans="2:8" x14ac:dyDescent="0.2">
      <c r="B207" s="23"/>
      <c r="C207" s="23"/>
      <c r="D207" s="23"/>
      <c r="E207" s="23"/>
      <c r="F207" s="23"/>
      <c r="G207" s="23"/>
      <c r="H207" s="23"/>
    </row>
    <row r="208" spans="2:8" x14ac:dyDescent="0.2">
      <c r="B208" s="23"/>
      <c r="C208" s="23"/>
      <c r="D208" s="23"/>
      <c r="E208" s="23"/>
      <c r="F208" s="23"/>
      <c r="G208" s="23"/>
      <c r="H208" s="23"/>
    </row>
    <row r="209" spans="2:8" x14ac:dyDescent="0.2">
      <c r="B209" s="23"/>
      <c r="C209" s="23"/>
      <c r="D209" s="23"/>
      <c r="E209" s="23"/>
      <c r="F209" s="23"/>
      <c r="G209" s="23"/>
      <c r="H209" s="23"/>
    </row>
    <row r="210" spans="2:8" x14ac:dyDescent="0.2">
      <c r="B210" s="23"/>
      <c r="C210" s="23"/>
      <c r="D210" s="23"/>
      <c r="E210" s="23"/>
      <c r="F210" s="23"/>
      <c r="G210" s="23"/>
      <c r="H210" s="23"/>
    </row>
    <row r="211" spans="2:8" x14ac:dyDescent="0.2">
      <c r="B211" s="23"/>
      <c r="C211" s="23"/>
      <c r="D211" s="23"/>
      <c r="E211" s="23"/>
      <c r="F211" s="23"/>
      <c r="G211" s="23"/>
      <c r="H211" s="23"/>
    </row>
    <row r="212" spans="2:8" x14ac:dyDescent="0.2">
      <c r="B212" s="23"/>
      <c r="C212" s="23"/>
      <c r="D212" s="23"/>
      <c r="E212" s="23"/>
      <c r="F212" s="23"/>
      <c r="G212" s="23"/>
      <c r="H212" s="23"/>
    </row>
    <row r="213" spans="2:8" x14ac:dyDescent="0.2">
      <c r="B213" s="23"/>
      <c r="C213" s="23"/>
      <c r="D213" s="23"/>
      <c r="E213" s="23"/>
      <c r="F213" s="23"/>
      <c r="G213" s="23"/>
      <c r="H213" s="23"/>
    </row>
    <row r="214" spans="2:8" x14ac:dyDescent="0.2">
      <c r="B214" s="23"/>
      <c r="C214" s="23"/>
      <c r="D214" s="23"/>
      <c r="E214" s="23"/>
      <c r="F214" s="23"/>
      <c r="G214" s="23"/>
      <c r="H214" s="23"/>
    </row>
    <row r="215" spans="2:8" x14ac:dyDescent="0.2">
      <c r="B215" s="23"/>
      <c r="C215" s="23"/>
      <c r="D215" s="23"/>
      <c r="E215" s="23"/>
      <c r="F215" s="23"/>
      <c r="G215" s="23"/>
      <c r="H215" s="23"/>
    </row>
    <row r="216" spans="2:8" x14ac:dyDescent="0.2">
      <c r="B216" s="23"/>
      <c r="C216" s="23"/>
      <c r="D216" s="23"/>
      <c r="E216" s="23"/>
      <c r="F216" s="23"/>
      <c r="G216" s="23"/>
      <c r="H216" s="23"/>
    </row>
    <row r="217" spans="2:8" x14ac:dyDescent="0.2">
      <c r="B217" s="23"/>
      <c r="C217" s="23"/>
      <c r="D217" s="23"/>
      <c r="E217" s="23"/>
      <c r="F217" s="23"/>
      <c r="G217" s="23"/>
      <c r="H217" s="23"/>
    </row>
    <row r="218" spans="2:8" x14ac:dyDescent="0.2">
      <c r="B218" s="23"/>
      <c r="C218" s="23"/>
      <c r="D218" s="23"/>
      <c r="E218" s="23"/>
      <c r="F218" s="23"/>
      <c r="G218" s="23"/>
      <c r="H218" s="23"/>
    </row>
    <row r="219" spans="2:8" x14ac:dyDescent="0.2">
      <c r="B219" s="23"/>
      <c r="C219" s="23"/>
      <c r="D219" s="23"/>
      <c r="E219" s="23"/>
      <c r="F219" s="23"/>
      <c r="G219" s="23"/>
      <c r="H219" s="23"/>
    </row>
    <row r="220" spans="2:8" x14ac:dyDescent="0.2">
      <c r="B220" s="23"/>
      <c r="C220" s="23"/>
      <c r="D220" s="23"/>
      <c r="E220" s="23"/>
      <c r="F220" s="23"/>
      <c r="G220" s="23"/>
      <c r="H220" s="23"/>
    </row>
    <row r="221" spans="2:8" x14ac:dyDescent="0.2">
      <c r="B221" s="23"/>
      <c r="C221" s="23"/>
      <c r="D221" s="23"/>
      <c r="E221" s="23"/>
      <c r="F221" s="23"/>
      <c r="G221" s="23"/>
      <c r="H221" s="23"/>
    </row>
    <row r="222" spans="2:8" x14ac:dyDescent="0.2">
      <c r="B222" s="23"/>
      <c r="C222" s="23"/>
      <c r="D222" s="23"/>
      <c r="E222" s="23"/>
      <c r="F222" s="23"/>
      <c r="G222" s="23"/>
      <c r="H222" s="23"/>
    </row>
    <row r="223" spans="2:8" x14ac:dyDescent="0.2">
      <c r="B223" s="23"/>
      <c r="C223" s="23"/>
      <c r="D223" s="23"/>
      <c r="E223" s="23"/>
      <c r="F223" s="23"/>
      <c r="G223" s="23"/>
      <c r="H223" s="23"/>
    </row>
    <row r="224" spans="2:8" x14ac:dyDescent="0.2">
      <c r="B224" s="23"/>
      <c r="C224" s="23"/>
      <c r="D224" s="23"/>
      <c r="E224" s="23"/>
      <c r="F224" s="23"/>
      <c r="G224" s="23"/>
      <c r="H224" s="23"/>
    </row>
    <row r="225" spans="2:8" x14ac:dyDescent="0.2">
      <c r="B225" s="23"/>
      <c r="C225" s="23"/>
      <c r="D225" s="23"/>
      <c r="E225" s="23"/>
      <c r="F225" s="23"/>
      <c r="G225" s="23"/>
      <c r="H225" s="23"/>
    </row>
    <row r="226" spans="2:8" x14ac:dyDescent="0.2">
      <c r="B226" s="23"/>
      <c r="C226" s="23"/>
      <c r="D226" s="23"/>
      <c r="E226" s="23"/>
      <c r="F226" s="23"/>
      <c r="G226" s="23"/>
      <c r="H226" s="23"/>
    </row>
    <row r="227" spans="2:8" x14ac:dyDescent="0.2">
      <c r="B227" s="23"/>
      <c r="C227" s="23"/>
      <c r="D227" s="23"/>
      <c r="E227" s="23"/>
      <c r="F227" s="23"/>
      <c r="G227" s="23"/>
      <c r="H227" s="23"/>
    </row>
    <row r="228" spans="2:8" x14ac:dyDescent="0.2">
      <c r="B228" s="23"/>
      <c r="C228" s="23"/>
      <c r="D228" s="23"/>
      <c r="E228" s="23"/>
      <c r="F228" s="23"/>
      <c r="G228" s="23"/>
      <c r="H228" s="23"/>
    </row>
    <row r="229" spans="2:8" x14ac:dyDescent="0.2">
      <c r="B229" s="23"/>
      <c r="C229" s="23"/>
      <c r="D229" s="23"/>
      <c r="E229" s="23"/>
      <c r="F229" s="23"/>
      <c r="G229" s="23"/>
      <c r="H229" s="23"/>
    </row>
    <row r="230" spans="2:8" x14ac:dyDescent="0.2">
      <c r="B230" s="23"/>
      <c r="C230" s="23"/>
      <c r="D230" s="23"/>
      <c r="E230" s="23"/>
      <c r="F230" s="23"/>
      <c r="G230" s="23"/>
      <c r="H230" s="23"/>
    </row>
    <row r="231" spans="2:8" x14ac:dyDescent="0.2">
      <c r="B231" s="23"/>
      <c r="C231" s="23"/>
      <c r="D231" s="23"/>
      <c r="E231" s="23"/>
      <c r="F231" s="23"/>
      <c r="G231" s="23"/>
      <c r="H231" s="23"/>
    </row>
    <row r="232" spans="2:8" x14ac:dyDescent="0.2">
      <c r="B232" s="23"/>
      <c r="C232" s="23"/>
      <c r="D232" s="23"/>
      <c r="E232" s="23"/>
      <c r="F232" s="23"/>
      <c r="G232" s="23"/>
      <c r="H232" s="23"/>
    </row>
    <row r="233" spans="2:8" x14ac:dyDescent="0.2">
      <c r="B233" s="23"/>
      <c r="C233" s="23"/>
      <c r="D233" s="23"/>
      <c r="E233" s="23"/>
      <c r="F233" s="23"/>
      <c r="G233" s="23"/>
      <c r="H233" s="23"/>
    </row>
    <row r="234" spans="2:8" x14ac:dyDescent="0.2">
      <c r="B234" s="23"/>
      <c r="C234" s="23"/>
      <c r="D234" s="23"/>
      <c r="E234" s="23"/>
      <c r="F234" s="23"/>
      <c r="G234" s="23"/>
      <c r="H234" s="23"/>
    </row>
    <row r="235" spans="2:8" x14ac:dyDescent="0.2">
      <c r="B235" s="23"/>
      <c r="C235" s="23"/>
      <c r="D235" s="23"/>
      <c r="E235" s="23"/>
      <c r="F235" s="23"/>
      <c r="G235" s="23"/>
      <c r="H235" s="23"/>
    </row>
    <row r="236" spans="2:8" x14ac:dyDescent="0.2">
      <c r="B236" s="23"/>
      <c r="C236" s="23"/>
      <c r="D236" s="23"/>
      <c r="E236" s="23"/>
      <c r="F236" s="23"/>
      <c r="G236" s="23"/>
      <c r="H236" s="23"/>
    </row>
    <row r="237" spans="2:8" x14ac:dyDescent="0.2">
      <c r="B237" s="23"/>
      <c r="C237" s="23"/>
      <c r="D237" s="23"/>
      <c r="E237" s="23"/>
      <c r="F237" s="23"/>
      <c r="G237" s="23"/>
      <c r="H237" s="23"/>
    </row>
    <row r="238" spans="2:8" x14ac:dyDescent="0.2">
      <c r="B238" s="23"/>
      <c r="C238" s="23"/>
      <c r="D238" s="23"/>
      <c r="E238" s="23"/>
      <c r="F238" s="23"/>
      <c r="G238" s="23"/>
      <c r="H238" s="23"/>
    </row>
    <row r="239" spans="2:8" x14ac:dyDescent="0.2">
      <c r="B239" s="23"/>
      <c r="C239" s="23"/>
      <c r="D239" s="23"/>
      <c r="E239" s="23"/>
      <c r="F239" s="23"/>
      <c r="G239" s="23"/>
      <c r="H239" s="23"/>
    </row>
    <row r="240" spans="2:8" x14ac:dyDescent="0.2">
      <c r="B240" s="23"/>
      <c r="C240" s="23"/>
      <c r="D240" s="23"/>
      <c r="E240" s="23"/>
      <c r="F240" s="23"/>
      <c r="G240" s="23"/>
      <c r="H240" s="23"/>
    </row>
    <row r="241" spans="2:8" x14ac:dyDescent="0.2">
      <c r="B241" s="23"/>
      <c r="C241" s="23"/>
      <c r="D241" s="23"/>
      <c r="E241" s="23"/>
      <c r="F241" s="23"/>
      <c r="G241" s="23"/>
      <c r="H241" s="23"/>
    </row>
    <row r="242" spans="2:8" x14ac:dyDescent="0.2">
      <c r="B242" s="23"/>
      <c r="C242" s="23"/>
      <c r="D242" s="23"/>
      <c r="E242" s="23"/>
      <c r="F242" s="23"/>
      <c r="G242" s="23"/>
      <c r="H242" s="23"/>
    </row>
    <row r="243" spans="2:8" x14ac:dyDescent="0.2">
      <c r="B243" s="23"/>
      <c r="C243" s="23"/>
      <c r="D243" s="23"/>
      <c r="E243" s="23"/>
      <c r="F243" s="23"/>
      <c r="G243" s="23"/>
      <c r="H243" s="23"/>
    </row>
    <row r="244" spans="2:8" x14ac:dyDescent="0.2">
      <c r="B244" s="23"/>
      <c r="C244" s="23"/>
      <c r="D244" s="23"/>
      <c r="E244" s="23"/>
      <c r="F244" s="23"/>
      <c r="G244" s="23"/>
      <c r="H244" s="23"/>
    </row>
    <row r="245" spans="2:8" x14ac:dyDescent="0.2">
      <c r="B245" s="23"/>
      <c r="C245" s="23"/>
      <c r="D245" s="23"/>
      <c r="E245" s="23"/>
      <c r="F245" s="23"/>
      <c r="G245" s="23"/>
      <c r="H245" s="23"/>
    </row>
    <row r="246" spans="2:8" x14ac:dyDescent="0.2">
      <c r="B246" s="23"/>
      <c r="C246" s="23"/>
      <c r="D246" s="23"/>
      <c r="E246" s="23"/>
      <c r="F246" s="23"/>
      <c r="G246" s="23"/>
      <c r="H246" s="23"/>
    </row>
    <row r="247" spans="2:8" x14ac:dyDescent="0.2">
      <c r="B247" s="23"/>
      <c r="C247" s="23"/>
      <c r="D247" s="23"/>
      <c r="E247" s="23"/>
      <c r="F247" s="23"/>
      <c r="G247" s="23"/>
      <c r="H247" s="23"/>
    </row>
    <row r="248" spans="2:8" x14ac:dyDescent="0.2">
      <c r="B248" s="23"/>
      <c r="C248" s="23"/>
      <c r="D248" s="23"/>
      <c r="E248" s="23"/>
      <c r="F248" s="23"/>
      <c r="G248" s="23"/>
      <c r="H248" s="23"/>
    </row>
    <row r="249" spans="2:8" x14ac:dyDescent="0.2">
      <c r="B249" s="23"/>
      <c r="C249" s="23"/>
      <c r="D249" s="23"/>
      <c r="E249" s="23"/>
      <c r="F249" s="23"/>
      <c r="G249" s="23"/>
      <c r="H249" s="23"/>
    </row>
    <row r="250" spans="2:8" x14ac:dyDescent="0.2">
      <c r="B250" s="23"/>
      <c r="C250" s="23"/>
      <c r="D250" s="23"/>
      <c r="E250" s="23"/>
      <c r="F250" s="23"/>
      <c r="G250" s="23"/>
      <c r="H250" s="23"/>
    </row>
    <row r="251" spans="2:8" x14ac:dyDescent="0.2">
      <c r="B251" s="23"/>
      <c r="C251" s="23"/>
      <c r="D251" s="23"/>
      <c r="E251" s="23"/>
      <c r="F251" s="23"/>
      <c r="G251" s="23"/>
      <c r="H251" s="23"/>
    </row>
    <row r="252" spans="2:8" x14ac:dyDescent="0.2">
      <c r="B252" s="23"/>
      <c r="C252" s="23"/>
      <c r="D252" s="23"/>
      <c r="E252" s="23"/>
      <c r="F252" s="23"/>
      <c r="G252" s="23"/>
      <c r="H252" s="23"/>
    </row>
    <row r="253" spans="2:8" x14ac:dyDescent="0.2">
      <c r="B253" s="23"/>
      <c r="C253" s="23"/>
      <c r="D253" s="23"/>
      <c r="E253" s="23"/>
      <c r="F253" s="23"/>
      <c r="G253" s="23"/>
      <c r="H253" s="23"/>
    </row>
    <row r="254" spans="2:8" x14ac:dyDescent="0.2">
      <c r="B254" s="23"/>
      <c r="C254" s="23"/>
      <c r="D254" s="23"/>
      <c r="E254" s="23"/>
      <c r="F254" s="23"/>
      <c r="G254" s="23"/>
      <c r="H254" s="23"/>
    </row>
    <row r="255" spans="2:8" x14ac:dyDescent="0.2">
      <c r="B255" s="23"/>
      <c r="C255" s="23"/>
      <c r="D255" s="23"/>
      <c r="E255" s="23"/>
      <c r="F255" s="23"/>
      <c r="G255" s="23"/>
      <c r="H255" s="23"/>
    </row>
    <row r="256" spans="2:8" x14ac:dyDescent="0.2">
      <c r="B256" s="23"/>
      <c r="C256" s="23"/>
      <c r="D256" s="23"/>
      <c r="E256" s="23"/>
      <c r="F256" s="23"/>
      <c r="G256" s="23"/>
      <c r="H256" s="23"/>
    </row>
    <row r="257" spans="2:8" x14ac:dyDescent="0.2">
      <c r="B257" s="23"/>
      <c r="C257" s="23"/>
      <c r="D257" s="23"/>
      <c r="E257" s="23"/>
      <c r="F257" s="23"/>
      <c r="G257" s="23"/>
      <c r="H257" s="23"/>
    </row>
    <row r="258" spans="2:8" x14ac:dyDescent="0.2">
      <c r="B258" s="23"/>
      <c r="C258" s="23"/>
      <c r="D258" s="23"/>
      <c r="E258" s="23"/>
      <c r="F258" s="23"/>
      <c r="G258" s="23"/>
      <c r="H258" s="23"/>
    </row>
    <row r="259" spans="2:8" x14ac:dyDescent="0.2">
      <c r="B259" s="23"/>
      <c r="C259" s="23"/>
      <c r="D259" s="23"/>
      <c r="E259" s="23"/>
      <c r="F259" s="23"/>
      <c r="G259" s="23"/>
      <c r="H259" s="23"/>
    </row>
    <row r="260" spans="2:8" x14ac:dyDescent="0.2">
      <c r="B260" s="23"/>
      <c r="C260" s="23"/>
      <c r="D260" s="23"/>
      <c r="E260" s="23"/>
      <c r="F260" s="23"/>
      <c r="G260" s="23"/>
      <c r="H260" s="23"/>
    </row>
    <row r="261" spans="2:8" x14ac:dyDescent="0.2">
      <c r="B261" s="23"/>
      <c r="C261" s="23"/>
      <c r="D261" s="23"/>
      <c r="E261" s="23"/>
      <c r="F261" s="23"/>
      <c r="G261" s="23"/>
      <c r="H261" s="23"/>
    </row>
    <row r="262" spans="2:8" x14ac:dyDescent="0.2">
      <c r="B262" s="23"/>
      <c r="C262" s="23"/>
      <c r="D262" s="23"/>
      <c r="E262" s="23"/>
      <c r="F262" s="23"/>
      <c r="G262" s="23"/>
      <c r="H262" s="23"/>
    </row>
    <row r="263" spans="2:8" x14ac:dyDescent="0.2">
      <c r="B263" s="23"/>
      <c r="C263" s="23"/>
      <c r="D263" s="23"/>
      <c r="E263" s="23"/>
      <c r="F263" s="23"/>
      <c r="G263" s="23"/>
      <c r="H263" s="23"/>
    </row>
    <row r="264" spans="2:8" x14ac:dyDescent="0.2">
      <c r="B264" s="23"/>
      <c r="C264" s="23"/>
      <c r="D264" s="23"/>
      <c r="E264" s="23"/>
      <c r="F264" s="23"/>
      <c r="G264" s="23"/>
      <c r="H264" s="23"/>
    </row>
    <row r="265" spans="2:8" x14ac:dyDescent="0.2">
      <c r="B265" s="23"/>
      <c r="C265" s="23"/>
      <c r="D265" s="23"/>
      <c r="E265" s="23"/>
      <c r="F265" s="23"/>
      <c r="G265" s="23"/>
      <c r="H265" s="23"/>
    </row>
    <row r="266" spans="2:8" x14ac:dyDescent="0.2">
      <c r="B266" s="23"/>
      <c r="C266" s="23"/>
      <c r="D266" s="23"/>
      <c r="E266" s="23"/>
      <c r="F266" s="23"/>
      <c r="G266" s="23"/>
      <c r="H266" s="23"/>
    </row>
    <row r="267" spans="2:8" x14ac:dyDescent="0.2">
      <c r="B267" s="23"/>
      <c r="C267" s="23"/>
      <c r="D267" s="23"/>
      <c r="E267" s="23"/>
      <c r="F267" s="23"/>
      <c r="G267" s="23"/>
      <c r="H267" s="23"/>
    </row>
    <row r="268" spans="2:8" x14ac:dyDescent="0.2">
      <c r="B268" s="23"/>
      <c r="C268" s="23"/>
      <c r="D268" s="23"/>
      <c r="E268" s="23"/>
      <c r="F268" s="23"/>
      <c r="G268" s="23"/>
      <c r="H268" s="23"/>
    </row>
    <row r="269" spans="2:8" x14ac:dyDescent="0.2">
      <c r="B269" s="23"/>
      <c r="C269" s="23"/>
      <c r="D269" s="23"/>
      <c r="E269" s="23"/>
      <c r="F269" s="23"/>
      <c r="G269" s="23"/>
      <c r="H269" s="23"/>
    </row>
    <row r="270" spans="2:8" x14ac:dyDescent="0.2">
      <c r="B270" s="23"/>
      <c r="C270" s="23"/>
      <c r="D270" s="23"/>
      <c r="E270" s="23"/>
      <c r="F270" s="23"/>
      <c r="G270" s="23"/>
      <c r="H270" s="23"/>
    </row>
    <row r="271" spans="2:8" x14ac:dyDescent="0.2">
      <c r="B271" s="23"/>
      <c r="C271" s="23"/>
      <c r="D271" s="23"/>
      <c r="E271" s="23"/>
      <c r="F271" s="23"/>
      <c r="G271" s="23"/>
      <c r="H271" s="23"/>
    </row>
    <row r="272" spans="2:8" x14ac:dyDescent="0.2">
      <c r="B272" s="23"/>
      <c r="C272" s="23"/>
      <c r="D272" s="23"/>
      <c r="E272" s="23"/>
      <c r="F272" s="23"/>
      <c r="G272" s="23"/>
      <c r="H272" s="23"/>
    </row>
    <row r="273" spans="2:8" x14ac:dyDescent="0.2">
      <c r="B273" s="23"/>
      <c r="C273" s="23"/>
      <c r="D273" s="23"/>
      <c r="E273" s="23"/>
      <c r="F273" s="23"/>
      <c r="G273" s="23"/>
      <c r="H273" s="23"/>
    </row>
    <row r="274" spans="2:8" x14ac:dyDescent="0.2">
      <c r="B274" s="23"/>
      <c r="C274" s="23"/>
      <c r="D274" s="23"/>
      <c r="E274" s="23"/>
      <c r="F274" s="23"/>
      <c r="G274" s="23"/>
      <c r="H274" s="23"/>
    </row>
    <row r="275" spans="2:8" x14ac:dyDescent="0.2">
      <c r="B275" s="23"/>
      <c r="C275" s="23"/>
      <c r="D275" s="23"/>
      <c r="E275" s="23"/>
      <c r="F275" s="23"/>
      <c r="G275" s="23"/>
      <c r="H275" s="23"/>
    </row>
    <row r="276" spans="2:8" x14ac:dyDescent="0.2">
      <c r="B276" s="23"/>
      <c r="C276" s="23"/>
      <c r="D276" s="23"/>
      <c r="E276" s="23"/>
      <c r="F276" s="23"/>
      <c r="G276" s="23"/>
      <c r="H276" s="23"/>
    </row>
    <row r="277" spans="2:8" x14ac:dyDescent="0.2">
      <c r="B277" s="23"/>
      <c r="C277" s="23"/>
      <c r="D277" s="23"/>
      <c r="E277" s="23"/>
      <c r="F277" s="23"/>
      <c r="G277" s="23"/>
      <c r="H277" s="23"/>
    </row>
    <row r="278" spans="2:8" x14ac:dyDescent="0.2">
      <c r="B278" s="23"/>
      <c r="C278" s="23"/>
      <c r="D278" s="23"/>
      <c r="E278" s="23"/>
      <c r="F278" s="23"/>
      <c r="G278" s="23"/>
      <c r="H278" s="23"/>
    </row>
    <row r="279" spans="2:8" x14ac:dyDescent="0.2">
      <c r="B279" s="23"/>
      <c r="C279" s="23"/>
      <c r="D279" s="23"/>
      <c r="E279" s="23"/>
      <c r="F279" s="23"/>
      <c r="G279" s="23"/>
      <c r="H279" s="23"/>
    </row>
    <row r="280" spans="2:8" x14ac:dyDescent="0.2">
      <c r="B280" s="23"/>
      <c r="C280" s="23"/>
      <c r="D280" s="23"/>
      <c r="E280" s="23"/>
      <c r="F280" s="23"/>
      <c r="G280" s="23"/>
      <c r="H280" s="23"/>
    </row>
    <row r="281" spans="2:8" x14ac:dyDescent="0.2">
      <c r="B281" s="23"/>
      <c r="C281" s="23"/>
      <c r="D281" s="23"/>
      <c r="E281" s="23"/>
      <c r="F281" s="23"/>
      <c r="G281" s="23"/>
      <c r="H281" s="23"/>
    </row>
    <row r="282" spans="2:8" x14ac:dyDescent="0.2">
      <c r="B282" s="23"/>
      <c r="C282" s="23"/>
      <c r="D282" s="23"/>
      <c r="E282" s="23"/>
      <c r="F282" s="23"/>
      <c r="G282" s="23"/>
      <c r="H282" s="23"/>
    </row>
    <row r="283" spans="2:8" x14ac:dyDescent="0.2">
      <c r="B283" s="23"/>
      <c r="C283" s="23"/>
      <c r="D283" s="23"/>
      <c r="E283" s="23"/>
      <c r="F283" s="23"/>
      <c r="G283" s="23"/>
      <c r="H283" s="23"/>
    </row>
    <row r="284" spans="2:8" x14ac:dyDescent="0.2">
      <c r="B284" s="23"/>
      <c r="C284" s="23"/>
      <c r="D284" s="23"/>
      <c r="E284" s="23"/>
      <c r="F284" s="23"/>
      <c r="G284" s="23"/>
      <c r="H284" s="23"/>
    </row>
    <row r="285" spans="2:8" x14ac:dyDescent="0.2">
      <c r="B285" s="23"/>
      <c r="C285" s="23"/>
      <c r="D285" s="23"/>
      <c r="E285" s="23"/>
      <c r="F285" s="23"/>
      <c r="G285" s="23"/>
      <c r="H285" s="23"/>
    </row>
    <row r="286" spans="2:8" x14ac:dyDescent="0.2">
      <c r="B286" s="23"/>
      <c r="C286" s="23"/>
      <c r="D286" s="23"/>
      <c r="E286" s="23"/>
      <c r="F286" s="23"/>
      <c r="G286" s="23"/>
      <c r="H286" s="23"/>
    </row>
    <row r="287" spans="2:8" x14ac:dyDescent="0.2">
      <c r="B287" s="23"/>
      <c r="C287" s="23"/>
      <c r="D287" s="23"/>
      <c r="E287" s="23"/>
      <c r="F287" s="23"/>
      <c r="G287" s="23"/>
      <c r="H287" s="23"/>
    </row>
    <row r="288" spans="2:8" x14ac:dyDescent="0.2">
      <c r="B288" s="23"/>
      <c r="C288" s="23"/>
      <c r="D288" s="23"/>
      <c r="E288" s="23"/>
      <c r="F288" s="23"/>
      <c r="G288" s="23"/>
      <c r="H288" s="23"/>
    </row>
    <row r="289" spans="2:8" x14ac:dyDescent="0.2">
      <c r="B289" s="23"/>
      <c r="C289" s="23"/>
      <c r="D289" s="23"/>
      <c r="E289" s="23"/>
      <c r="F289" s="23"/>
      <c r="G289" s="23"/>
      <c r="H289" s="23"/>
    </row>
    <row r="290" spans="2:8" x14ac:dyDescent="0.2">
      <c r="B290" s="23"/>
      <c r="C290" s="23"/>
      <c r="D290" s="23"/>
      <c r="E290" s="23"/>
      <c r="F290" s="23"/>
      <c r="G290" s="23"/>
      <c r="H290" s="23"/>
    </row>
    <row r="291" spans="2:8" x14ac:dyDescent="0.2">
      <c r="B291" s="23"/>
      <c r="C291" s="23"/>
      <c r="D291" s="23"/>
      <c r="E291" s="23"/>
      <c r="F291" s="23"/>
      <c r="G291" s="23"/>
      <c r="H291" s="23"/>
    </row>
    <row r="292" spans="2:8" x14ac:dyDescent="0.2">
      <c r="B292" s="23"/>
      <c r="C292" s="23"/>
      <c r="D292" s="23"/>
      <c r="E292" s="23"/>
      <c r="F292" s="23"/>
      <c r="G292" s="23"/>
      <c r="H292" s="23"/>
    </row>
    <row r="293" spans="2:8" x14ac:dyDescent="0.2">
      <c r="B293" s="23"/>
      <c r="C293" s="23"/>
      <c r="D293" s="23"/>
      <c r="E293" s="23"/>
      <c r="F293" s="23"/>
      <c r="G293" s="23"/>
      <c r="H293" s="23"/>
    </row>
    <row r="294" spans="2:8" x14ac:dyDescent="0.2">
      <c r="B294" s="23"/>
      <c r="C294" s="23"/>
      <c r="D294" s="23"/>
      <c r="E294" s="23"/>
      <c r="F294" s="23"/>
      <c r="G294" s="23"/>
      <c r="H294" s="23"/>
    </row>
    <row r="295" spans="2:8" x14ac:dyDescent="0.2">
      <c r="B295" s="23"/>
      <c r="C295" s="23"/>
      <c r="D295" s="23"/>
      <c r="E295" s="23"/>
      <c r="F295" s="23"/>
      <c r="G295" s="23"/>
      <c r="H295" s="23"/>
    </row>
    <row r="296" spans="2:8" x14ac:dyDescent="0.2">
      <c r="B296" s="23"/>
      <c r="C296" s="23"/>
      <c r="D296" s="23"/>
      <c r="E296" s="23"/>
      <c r="F296" s="23"/>
      <c r="G296" s="23"/>
      <c r="H296" s="23"/>
    </row>
    <row r="297" spans="2:8" x14ac:dyDescent="0.2">
      <c r="B297" s="23"/>
      <c r="C297" s="23"/>
      <c r="D297" s="23"/>
      <c r="E297" s="23"/>
      <c r="F297" s="23"/>
      <c r="G297" s="23"/>
      <c r="H297" s="23"/>
    </row>
    <row r="298" spans="2:8" x14ac:dyDescent="0.2">
      <c r="B298" s="23"/>
      <c r="C298" s="23"/>
      <c r="D298" s="23"/>
      <c r="E298" s="23"/>
      <c r="F298" s="23"/>
      <c r="G298" s="23"/>
      <c r="H298" s="23"/>
    </row>
    <row r="299" spans="2:8" x14ac:dyDescent="0.2">
      <c r="B299" s="23"/>
      <c r="C299" s="23"/>
      <c r="D299" s="23"/>
      <c r="E299" s="23"/>
      <c r="F299" s="23"/>
      <c r="G299" s="23"/>
      <c r="H299" s="23"/>
    </row>
    <row r="300" spans="2:8" x14ac:dyDescent="0.2">
      <c r="B300" s="23"/>
      <c r="C300" s="23"/>
      <c r="D300" s="23"/>
      <c r="E300" s="23"/>
      <c r="F300" s="23"/>
      <c r="G300" s="23"/>
      <c r="H300" s="23"/>
    </row>
    <row r="301" spans="2:8" x14ac:dyDescent="0.2">
      <c r="B301" s="23"/>
      <c r="C301" s="23"/>
      <c r="D301" s="23"/>
      <c r="E301" s="23"/>
      <c r="F301" s="23"/>
      <c r="G301" s="23"/>
      <c r="H301" s="23"/>
    </row>
    <row r="302" spans="2:8" x14ac:dyDescent="0.2">
      <c r="B302" s="23"/>
      <c r="C302" s="23"/>
      <c r="D302" s="23"/>
      <c r="E302" s="23"/>
      <c r="F302" s="23"/>
      <c r="G302" s="23"/>
      <c r="H302" s="23"/>
    </row>
    <row r="303" spans="2:8" x14ac:dyDescent="0.2">
      <c r="B303" s="23"/>
      <c r="C303" s="23"/>
      <c r="D303" s="23"/>
      <c r="E303" s="23"/>
      <c r="F303" s="23"/>
      <c r="G303" s="23"/>
      <c r="H303" s="23"/>
    </row>
    <row r="304" spans="2:8" x14ac:dyDescent="0.2">
      <c r="B304" s="23"/>
      <c r="C304" s="23"/>
      <c r="D304" s="23"/>
      <c r="E304" s="23"/>
      <c r="F304" s="23"/>
      <c r="G304" s="23"/>
      <c r="H304" s="23"/>
    </row>
    <row r="305" spans="2:8" x14ac:dyDescent="0.2">
      <c r="B305" s="23"/>
      <c r="C305" s="23"/>
      <c r="D305" s="23"/>
      <c r="E305" s="23"/>
      <c r="F305" s="23"/>
      <c r="G305" s="23"/>
      <c r="H305" s="23"/>
    </row>
    <row r="306" spans="2:8" x14ac:dyDescent="0.2">
      <c r="B306" s="23"/>
      <c r="C306" s="23"/>
      <c r="D306" s="23"/>
      <c r="E306" s="23"/>
      <c r="F306" s="23"/>
      <c r="G306" s="23"/>
      <c r="H306" s="23"/>
    </row>
    <row r="307" spans="2:8" x14ac:dyDescent="0.2">
      <c r="B307" s="23"/>
      <c r="C307" s="23"/>
      <c r="D307" s="23"/>
      <c r="E307" s="23"/>
      <c r="F307" s="23"/>
      <c r="G307" s="23"/>
      <c r="H307" s="23"/>
    </row>
    <row r="308" spans="2:8" x14ac:dyDescent="0.2">
      <c r="B308" s="23"/>
      <c r="C308" s="23"/>
      <c r="D308" s="23"/>
      <c r="E308" s="23"/>
      <c r="F308" s="23"/>
      <c r="G308" s="23"/>
      <c r="H308" s="23"/>
    </row>
    <row r="309" spans="2:8" x14ac:dyDescent="0.2">
      <c r="B309" s="23"/>
      <c r="C309" s="23"/>
      <c r="D309" s="23"/>
      <c r="E309" s="23"/>
      <c r="F309" s="23"/>
      <c r="G309" s="23"/>
      <c r="H309" s="23"/>
    </row>
    <row r="310" spans="2:8" x14ac:dyDescent="0.2">
      <c r="B310" s="23"/>
      <c r="C310" s="23"/>
      <c r="D310" s="23"/>
      <c r="E310" s="23"/>
      <c r="F310" s="23"/>
      <c r="G310" s="23"/>
      <c r="H310" s="23"/>
    </row>
    <row r="311" spans="2:8" x14ac:dyDescent="0.2">
      <c r="B311" s="23"/>
      <c r="C311" s="23"/>
      <c r="D311" s="23"/>
      <c r="E311" s="23"/>
      <c r="F311" s="23"/>
      <c r="G311" s="23"/>
      <c r="H311" s="23"/>
    </row>
    <row r="312" spans="2:8" x14ac:dyDescent="0.2">
      <c r="B312" s="23"/>
      <c r="C312" s="23"/>
      <c r="D312" s="23"/>
      <c r="E312" s="23"/>
      <c r="F312" s="23"/>
      <c r="G312" s="23"/>
      <c r="H312" s="23"/>
    </row>
    <row r="313" spans="2:8" x14ac:dyDescent="0.2">
      <c r="B313" s="23"/>
      <c r="C313" s="23"/>
      <c r="D313" s="23"/>
      <c r="E313" s="23"/>
      <c r="F313" s="23"/>
      <c r="G313" s="23"/>
      <c r="H313" s="23"/>
    </row>
    <row r="314" spans="2:8" x14ac:dyDescent="0.2">
      <c r="B314" s="23"/>
      <c r="C314" s="23"/>
      <c r="D314" s="23"/>
      <c r="E314" s="23"/>
      <c r="F314" s="23"/>
      <c r="G314" s="23"/>
      <c r="H314" s="23"/>
    </row>
    <row r="315" spans="2:8" x14ac:dyDescent="0.2">
      <c r="B315" s="23"/>
      <c r="C315" s="23"/>
      <c r="D315" s="23"/>
      <c r="E315" s="23"/>
      <c r="F315" s="23"/>
      <c r="G315" s="23"/>
      <c r="H315" s="23"/>
    </row>
    <row r="316" spans="2:8" x14ac:dyDescent="0.2">
      <c r="B316" s="23"/>
      <c r="C316" s="23"/>
      <c r="D316" s="23"/>
      <c r="E316" s="23"/>
      <c r="F316" s="23"/>
      <c r="G316" s="23"/>
      <c r="H316" s="23"/>
    </row>
    <row r="317" spans="2:8" x14ac:dyDescent="0.2">
      <c r="B317" s="23"/>
      <c r="C317" s="23"/>
      <c r="D317" s="23"/>
      <c r="E317" s="23"/>
      <c r="F317" s="23"/>
      <c r="G317" s="23"/>
      <c r="H317" s="23"/>
    </row>
    <row r="318" spans="2:8" x14ac:dyDescent="0.2">
      <c r="B318" s="23"/>
      <c r="C318" s="23"/>
      <c r="D318" s="23"/>
      <c r="E318" s="23"/>
      <c r="F318" s="23"/>
      <c r="G318" s="23"/>
      <c r="H318" s="23"/>
    </row>
    <row r="319" spans="2:8" x14ac:dyDescent="0.2">
      <c r="B319" s="23"/>
      <c r="C319" s="23"/>
      <c r="D319" s="23"/>
      <c r="E319" s="23"/>
      <c r="F319" s="23"/>
      <c r="G319" s="23"/>
      <c r="H319" s="23"/>
    </row>
    <row r="320" spans="2:8" x14ac:dyDescent="0.2">
      <c r="B320" s="23"/>
      <c r="C320" s="23"/>
      <c r="D320" s="23"/>
      <c r="E320" s="23"/>
      <c r="F320" s="23"/>
      <c r="G320" s="23"/>
      <c r="H320" s="23"/>
    </row>
    <row r="321" spans="2:8" x14ac:dyDescent="0.2">
      <c r="B321" s="23"/>
      <c r="C321" s="23"/>
      <c r="D321" s="23"/>
      <c r="E321" s="23"/>
      <c r="F321" s="23"/>
      <c r="G321" s="23"/>
      <c r="H321" s="23"/>
    </row>
    <row r="322" spans="2:8" x14ac:dyDescent="0.2">
      <c r="B322" s="23"/>
      <c r="C322" s="23"/>
      <c r="D322" s="23"/>
      <c r="E322" s="23"/>
      <c r="F322" s="23"/>
      <c r="G322" s="23"/>
      <c r="H322" s="23"/>
    </row>
    <row r="323" spans="2:8" x14ac:dyDescent="0.2">
      <c r="B323" s="23"/>
      <c r="C323" s="23"/>
      <c r="D323" s="23"/>
      <c r="E323" s="23"/>
      <c r="F323" s="23"/>
      <c r="G323" s="23"/>
      <c r="H323" s="23"/>
    </row>
    <row r="324" spans="2:8" x14ac:dyDescent="0.2">
      <c r="B324" s="23"/>
      <c r="C324" s="23"/>
      <c r="D324" s="23"/>
      <c r="E324" s="23"/>
      <c r="F324" s="23"/>
      <c r="G324" s="23"/>
      <c r="H324" s="23"/>
    </row>
    <row r="325" spans="2:8" x14ac:dyDescent="0.2">
      <c r="B325" s="23"/>
      <c r="C325" s="23"/>
      <c r="D325" s="23"/>
      <c r="E325" s="23"/>
      <c r="F325" s="23"/>
      <c r="G325" s="23"/>
      <c r="H325" s="23"/>
    </row>
    <row r="326" spans="2:8" x14ac:dyDescent="0.2">
      <c r="B326" s="23"/>
      <c r="C326" s="23"/>
      <c r="D326" s="23"/>
      <c r="E326" s="23"/>
      <c r="F326" s="23"/>
      <c r="G326" s="23"/>
      <c r="H326" s="23"/>
    </row>
    <row r="327" spans="2:8" x14ac:dyDescent="0.2">
      <c r="B327" s="23"/>
      <c r="C327" s="23"/>
      <c r="D327" s="23"/>
      <c r="E327" s="23"/>
      <c r="F327" s="23"/>
      <c r="G327" s="23"/>
      <c r="H327" s="23"/>
    </row>
    <row r="328" spans="2:8" x14ac:dyDescent="0.2">
      <c r="B328" s="23"/>
      <c r="C328" s="23"/>
      <c r="D328" s="23"/>
      <c r="E328" s="23"/>
      <c r="F328" s="23"/>
      <c r="G328" s="23"/>
      <c r="H328" s="23"/>
    </row>
    <row r="329" spans="2:8" x14ac:dyDescent="0.2">
      <c r="B329" s="23"/>
      <c r="C329" s="23"/>
      <c r="D329" s="23"/>
      <c r="E329" s="23"/>
      <c r="F329" s="23"/>
      <c r="G329" s="23"/>
      <c r="H329" s="23"/>
    </row>
    <row r="330" spans="2:8" x14ac:dyDescent="0.2">
      <c r="B330" s="23"/>
      <c r="C330" s="23"/>
      <c r="D330" s="23"/>
      <c r="E330" s="23"/>
      <c r="F330" s="23"/>
      <c r="G330" s="23"/>
      <c r="H330" s="23"/>
    </row>
    <row r="331" spans="2:8" x14ac:dyDescent="0.2">
      <c r="B331" s="23"/>
      <c r="C331" s="23"/>
      <c r="D331" s="23"/>
      <c r="E331" s="23"/>
      <c r="F331" s="23"/>
      <c r="G331" s="23"/>
      <c r="H331" s="23"/>
    </row>
    <row r="332" spans="2:8" x14ac:dyDescent="0.2">
      <c r="B332" s="23"/>
      <c r="C332" s="23"/>
      <c r="D332" s="23"/>
      <c r="E332" s="23"/>
      <c r="F332" s="23"/>
      <c r="G332" s="23"/>
      <c r="H332" s="23"/>
    </row>
    <row r="333" spans="2:8" x14ac:dyDescent="0.2">
      <c r="B333" s="23"/>
      <c r="C333" s="23"/>
      <c r="D333" s="23"/>
      <c r="E333" s="23"/>
      <c r="F333" s="23"/>
      <c r="G333" s="23"/>
      <c r="H333" s="23"/>
    </row>
    <row r="334" spans="2:8" x14ac:dyDescent="0.2">
      <c r="B334" s="23"/>
      <c r="C334" s="23"/>
      <c r="D334" s="23"/>
      <c r="E334" s="23"/>
      <c r="F334" s="23"/>
      <c r="G334" s="23"/>
      <c r="H334" s="23"/>
    </row>
    <row r="335" spans="2:8" x14ac:dyDescent="0.2">
      <c r="B335" s="23"/>
      <c r="C335" s="23"/>
      <c r="D335" s="23"/>
      <c r="E335" s="23"/>
      <c r="F335" s="23"/>
      <c r="G335" s="23"/>
      <c r="H335" s="23"/>
    </row>
    <row r="336" spans="2:8" x14ac:dyDescent="0.2">
      <c r="B336" s="23"/>
      <c r="C336" s="23"/>
      <c r="D336" s="23"/>
      <c r="E336" s="23"/>
      <c r="F336" s="23"/>
      <c r="G336" s="23"/>
      <c r="H336" s="23"/>
    </row>
    <row r="337" spans="2:8" x14ac:dyDescent="0.2">
      <c r="B337" s="23"/>
      <c r="C337" s="23"/>
      <c r="D337" s="23"/>
      <c r="E337" s="23"/>
      <c r="F337" s="23"/>
      <c r="G337" s="23"/>
      <c r="H337" s="23"/>
    </row>
    <row r="338" spans="2:8" x14ac:dyDescent="0.2">
      <c r="B338" s="23"/>
      <c r="C338" s="23"/>
      <c r="D338" s="23"/>
      <c r="E338" s="23"/>
      <c r="F338" s="23"/>
      <c r="G338" s="23"/>
      <c r="H338" s="23"/>
    </row>
    <row r="339" spans="2:8" x14ac:dyDescent="0.2">
      <c r="B339" s="23"/>
      <c r="C339" s="23"/>
      <c r="D339" s="23"/>
      <c r="E339" s="23"/>
      <c r="F339" s="23"/>
      <c r="G339" s="23"/>
      <c r="H339" s="23"/>
    </row>
    <row r="340" spans="2:8" x14ac:dyDescent="0.2">
      <c r="B340" s="23"/>
      <c r="C340" s="23"/>
      <c r="D340" s="23"/>
      <c r="E340" s="23"/>
      <c r="F340" s="23"/>
      <c r="G340" s="23"/>
      <c r="H340" s="23"/>
    </row>
    <row r="341" spans="2:8" x14ac:dyDescent="0.2">
      <c r="B341" s="23"/>
      <c r="C341" s="23"/>
      <c r="D341" s="23"/>
      <c r="E341" s="23"/>
      <c r="F341" s="23"/>
      <c r="G341" s="23"/>
      <c r="H341" s="23"/>
    </row>
    <row r="342" spans="2:8" x14ac:dyDescent="0.2">
      <c r="B342" s="23"/>
      <c r="C342" s="23"/>
      <c r="D342" s="23"/>
      <c r="E342" s="23"/>
      <c r="F342" s="23"/>
      <c r="G342" s="23"/>
      <c r="H342" s="23"/>
    </row>
    <row r="343" spans="2:8" x14ac:dyDescent="0.2">
      <c r="B343" s="23"/>
      <c r="C343" s="23"/>
      <c r="D343" s="23"/>
      <c r="E343" s="23"/>
      <c r="F343" s="23"/>
      <c r="G343" s="23"/>
      <c r="H343" s="23"/>
    </row>
    <row r="344" spans="2:8" x14ac:dyDescent="0.2">
      <c r="B344" s="23"/>
      <c r="C344" s="23"/>
      <c r="D344" s="23"/>
      <c r="E344" s="23"/>
      <c r="F344" s="23"/>
      <c r="G344" s="23"/>
      <c r="H344" s="23"/>
    </row>
    <row r="345" spans="2:8" x14ac:dyDescent="0.2">
      <c r="B345" s="23"/>
      <c r="C345" s="23"/>
      <c r="D345" s="23"/>
      <c r="E345" s="23"/>
      <c r="F345" s="23"/>
      <c r="G345" s="23"/>
      <c r="H345" s="23"/>
    </row>
    <row r="346" spans="2:8" x14ac:dyDescent="0.2">
      <c r="B346" s="23"/>
      <c r="C346" s="23"/>
      <c r="D346" s="23"/>
      <c r="E346" s="23"/>
      <c r="F346" s="23"/>
      <c r="G346" s="23"/>
      <c r="H346" s="23"/>
    </row>
    <row r="347" spans="2:8" x14ac:dyDescent="0.2">
      <c r="B347" s="23"/>
      <c r="C347" s="23"/>
      <c r="D347" s="23"/>
      <c r="E347" s="23"/>
      <c r="F347" s="23"/>
      <c r="G347" s="23"/>
      <c r="H347" s="23"/>
    </row>
    <row r="348" spans="2:8" x14ac:dyDescent="0.2">
      <c r="B348" s="23"/>
      <c r="C348" s="23"/>
      <c r="D348" s="23"/>
      <c r="E348" s="23"/>
      <c r="F348" s="23"/>
      <c r="G348" s="23"/>
      <c r="H348" s="23"/>
    </row>
    <row r="349" spans="2:8" x14ac:dyDescent="0.2">
      <c r="B349" s="23"/>
      <c r="C349" s="23"/>
      <c r="D349" s="23"/>
      <c r="E349" s="23"/>
      <c r="F349" s="23"/>
      <c r="G349" s="23"/>
      <c r="H349" s="23"/>
    </row>
    <row r="350" spans="2:8" x14ac:dyDescent="0.2">
      <c r="B350" s="23"/>
      <c r="C350" s="23"/>
      <c r="D350" s="23"/>
      <c r="E350" s="23"/>
      <c r="F350" s="23"/>
      <c r="G350" s="23"/>
      <c r="H350" s="23"/>
    </row>
    <row r="351" spans="2:8" x14ac:dyDescent="0.2">
      <c r="B351" s="23"/>
      <c r="C351" s="23"/>
      <c r="D351" s="23"/>
      <c r="E351" s="23"/>
      <c r="F351" s="23"/>
      <c r="G351" s="23"/>
      <c r="H351" s="23"/>
    </row>
    <row r="352" spans="2:8" x14ac:dyDescent="0.2">
      <c r="B352" s="23"/>
      <c r="C352" s="23"/>
      <c r="D352" s="23"/>
      <c r="E352" s="23"/>
      <c r="F352" s="23"/>
      <c r="G352" s="23"/>
      <c r="H352" s="23"/>
    </row>
    <row r="353" spans="2:8" x14ac:dyDescent="0.2">
      <c r="B353" s="23"/>
      <c r="C353" s="23"/>
      <c r="D353" s="23"/>
      <c r="E353" s="23"/>
      <c r="F353" s="23"/>
      <c r="G353" s="23"/>
      <c r="H353" s="23"/>
    </row>
    <row r="354" spans="2:8" x14ac:dyDescent="0.2">
      <c r="B354" s="23"/>
      <c r="C354" s="23"/>
      <c r="D354" s="23"/>
      <c r="E354" s="23"/>
      <c r="F354" s="23"/>
      <c r="G354" s="23"/>
      <c r="H354" s="23"/>
    </row>
    <row r="355" spans="2:8" x14ac:dyDescent="0.2">
      <c r="B355" s="23"/>
      <c r="C355" s="23"/>
      <c r="D355" s="23"/>
      <c r="E355" s="23"/>
      <c r="F355" s="23"/>
      <c r="G355" s="23"/>
      <c r="H355" s="23"/>
    </row>
    <row r="356" spans="2:8" x14ac:dyDescent="0.2">
      <c r="B356" s="23"/>
      <c r="C356" s="23"/>
      <c r="D356" s="23"/>
      <c r="E356" s="23"/>
      <c r="F356" s="23"/>
      <c r="G356" s="23"/>
      <c r="H356" s="23"/>
    </row>
    <row r="357" spans="2:8" x14ac:dyDescent="0.2">
      <c r="B357" s="23"/>
      <c r="C357" s="23"/>
      <c r="D357" s="23"/>
      <c r="E357" s="23"/>
      <c r="F357" s="23"/>
      <c r="G357" s="23"/>
      <c r="H357" s="23"/>
    </row>
    <row r="358" spans="2:8" x14ac:dyDescent="0.2">
      <c r="B358" s="23"/>
      <c r="C358" s="23"/>
      <c r="D358" s="23"/>
      <c r="E358" s="23"/>
      <c r="F358" s="23"/>
      <c r="G358" s="23"/>
      <c r="H358" s="23"/>
    </row>
    <row r="359" spans="2:8" x14ac:dyDescent="0.2">
      <c r="B359" s="23"/>
      <c r="C359" s="23"/>
      <c r="D359" s="23"/>
      <c r="E359" s="23"/>
      <c r="F359" s="23"/>
      <c r="G359" s="23"/>
      <c r="H359" s="23"/>
    </row>
    <row r="360" spans="2:8" x14ac:dyDescent="0.2">
      <c r="B360" s="23"/>
      <c r="C360" s="23"/>
      <c r="D360" s="23"/>
      <c r="E360" s="23"/>
      <c r="F360" s="23"/>
      <c r="G360" s="23"/>
      <c r="H360" s="23"/>
    </row>
    <row r="361" spans="2:8" x14ac:dyDescent="0.2">
      <c r="B361" s="23"/>
      <c r="C361" s="23"/>
      <c r="D361" s="23"/>
      <c r="E361" s="23"/>
      <c r="F361" s="23"/>
      <c r="G361" s="23"/>
      <c r="H361" s="23"/>
    </row>
    <row r="362" spans="2:8" x14ac:dyDescent="0.2">
      <c r="B362" s="23"/>
      <c r="C362" s="23"/>
      <c r="D362" s="23"/>
      <c r="E362" s="23"/>
      <c r="F362" s="23"/>
      <c r="G362" s="23"/>
      <c r="H362" s="23"/>
    </row>
    <row r="363" spans="2:8" x14ac:dyDescent="0.2">
      <c r="B363" s="23"/>
      <c r="C363" s="23"/>
      <c r="D363" s="23"/>
      <c r="E363" s="23"/>
      <c r="F363" s="23"/>
      <c r="G363" s="23"/>
      <c r="H363" s="23"/>
    </row>
    <row r="364" spans="2:8" x14ac:dyDescent="0.2">
      <c r="B364" s="23"/>
      <c r="C364" s="23"/>
      <c r="D364" s="23"/>
      <c r="E364" s="23"/>
      <c r="F364" s="23"/>
      <c r="G364" s="23"/>
      <c r="H364" s="23"/>
    </row>
    <row r="365" spans="2:8" x14ac:dyDescent="0.2">
      <c r="B365" s="23"/>
      <c r="C365" s="23"/>
      <c r="D365" s="23"/>
      <c r="E365" s="23"/>
      <c r="F365" s="23"/>
      <c r="G365" s="23"/>
      <c r="H365" s="23"/>
    </row>
    <row r="366" spans="2:8" x14ac:dyDescent="0.2">
      <c r="B366" s="23"/>
      <c r="C366" s="23"/>
      <c r="D366" s="23"/>
      <c r="E366" s="23"/>
      <c r="F366" s="23"/>
      <c r="G366" s="23"/>
      <c r="H366" s="23"/>
    </row>
    <row r="367" spans="2:8" x14ac:dyDescent="0.2">
      <c r="B367" s="23"/>
      <c r="C367" s="23"/>
      <c r="D367" s="23"/>
      <c r="E367" s="23"/>
      <c r="F367" s="23"/>
      <c r="G367" s="23"/>
      <c r="H367" s="23"/>
    </row>
    <row r="368" spans="2:8" x14ac:dyDescent="0.2">
      <c r="B368" s="23"/>
      <c r="C368" s="23"/>
      <c r="D368" s="23"/>
      <c r="E368" s="23"/>
      <c r="F368" s="23"/>
      <c r="G368" s="23"/>
      <c r="H368" s="23"/>
    </row>
    <row r="369" spans="2:8" x14ac:dyDescent="0.2">
      <c r="B369" s="23"/>
      <c r="C369" s="23"/>
      <c r="D369" s="23"/>
      <c r="E369" s="23"/>
      <c r="F369" s="23"/>
      <c r="G369" s="23"/>
      <c r="H369" s="23"/>
    </row>
    <row r="370" spans="2:8" x14ac:dyDescent="0.2">
      <c r="B370" s="23"/>
      <c r="C370" s="23"/>
      <c r="D370" s="23"/>
      <c r="E370" s="23"/>
      <c r="F370" s="23"/>
      <c r="G370" s="23"/>
      <c r="H370" s="23"/>
    </row>
    <row r="371" spans="2:8" x14ac:dyDescent="0.2">
      <c r="B371" s="23"/>
      <c r="C371" s="23"/>
      <c r="D371" s="23"/>
      <c r="E371" s="23"/>
      <c r="F371" s="23"/>
      <c r="G371" s="23"/>
      <c r="H371" s="23"/>
    </row>
    <row r="372" spans="2:8" x14ac:dyDescent="0.2">
      <c r="B372" s="23"/>
      <c r="C372" s="23"/>
      <c r="D372" s="23"/>
      <c r="E372" s="23"/>
      <c r="F372" s="23"/>
      <c r="G372" s="23"/>
      <c r="H372" s="23"/>
    </row>
    <row r="373" spans="2:8" x14ac:dyDescent="0.2">
      <c r="B373" s="23"/>
      <c r="C373" s="23"/>
      <c r="D373" s="23"/>
      <c r="E373" s="23"/>
      <c r="F373" s="23"/>
      <c r="G373" s="23"/>
      <c r="H373" s="23"/>
    </row>
    <row r="374" spans="2:8" x14ac:dyDescent="0.2">
      <c r="B374" s="23"/>
      <c r="C374" s="23"/>
      <c r="D374" s="23"/>
      <c r="E374" s="23"/>
      <c r="F374" s="23"/>
      <c r="G374" s="23"/>
      <c r="H374" s="23"/>
    </row>
    <row r="375" spans="2:8" x14ac:dyDescent="0.2">
      <c r="B375" s="23"/>
      <c r="C375" s="23"/>
      <c r="D375" s="23"/>
      <c r="E375" s="23"/>
      <c r="F375" s="23"/>
      <c r="G375" s="23"/>
      <c r="H375" s="23"/>
    </row>
    <row r="376" spans="2:8" x14ac:dyDescent="0.2">
      <c r="B376" s="23"/>
      <c r="C376" s="23"/>
      <c r="D376" s="23"/>
      <c r="E376" s="23"/>
      <c r="F376" s="23"/>
      <c r="G376" s="23"/>
      <c r="H376" s="23"/>
    </row>
    <row r="377" spans="2:8" x14ac:dyDescent="0.2">
      <c r="B377" s="23"/>
      <c r="C377" s="23"/>
      <c r="D377" s="23"/>
      <c r="E377" s="23"/>
      <c r="F377" s="23"/>
      <c r="G377" s="23"/>
      <c r="H377" s="23"/>
    </row>
    <row r="378" spans="2:8" x14ac:dyDescent="0.2">
      <c r="B378" s="23"/>
      <c r="C378" s="23"/>
      <c r="D378" s="23"/>
      <c r="E378" s="23"/>
      <c r="F378" s="23"/>
      <c r="G378" s="23"/>
      <c r="H378" s="23"/>
    </row>
    <row r="379" spans="2:8" x14ac:dyDescent="0.2">
      <c r="B379" s="23"/>
      <c r="C379" s="23"/>
      <c r="D379" s="23"/>
      <c r="E379" s="23"/>
      <c r="F379" s="23"/>
      <c r="G379" s="23"/>
      <c r="H379" s="23"/>
    </row>
    <row r="380" spans="2:8" x14ac:dyDescent="0.2">
      <c r="B380" s="23"/>
      <c r="C380" s="23"/>
      <c r="D380" s="23"/>
      <c r="E380" s="23"/>
      <c r="F380" s="23"/>
      <c r="G380" s="23"/>
      <c r="H380" s="23"/>
    </row>
    <row r="381" spans="2:8" x14ac:dyDescent="0.2">
      <c r="B381" s="23"/>
      <c r="C381" s="23"/>
      <c r="D381" s="23"/>
      <c r="E381" s="23"/>
      <c r="F381" s="23"/>
      <c r="G381" s="23"/>
      <c r="H381" s="23"/>
    </row>
    <row r="382" spans="2:8" x14ac:dyDescent="0.2">
      <c r="B382" s="23"/>
      <c r="C382" s="23"/>
      <c r="D382" s="23"/>
      <c r="E382" s="23"/>
      <c r="F382" s="23"/>
      <c r="G382" s="23"/>
      <c r="H382" s="23"/>
    </row>
    <row r="383" spans="2:8" x14ac:dyDescent="0.2">
      <c r="B383" s="23"/>
      <c r="C383" s="23"/>
      <c r="D383" s="23"/>
      <c r="E383" s="23"/>
      <c r="F383" s="23"/>
      <c r="G383" s="23"/>
      <c r="H383" s="23"/>
    </row>
    <row r="384" spans="2:8" x14ac:dyDescent="0.2">
      <c r="B384" s="23"/>
      <c r="C384" s="23"/>
      <c r="D384" s="23"/>
      <c r="E384" s="23"/>
      <c r="F384" s="23"/>
      <c r="G384" s="23"/>
      <c r="H384" s="23"/>
    </row>
    <row r="385" spans="2:8" x14ac:dyDescent="0.2">
      <c r="B385" s="23"/>
      <c r="C385" s="23"/>
      <c r="D385" s="23"/>
      <c r="E385" s="23"/>
      <c r="F385" s="23"/>
      <c r="G385" s="23"/>
      <c r="H385" s="23"/>
    </row>
    <row r="386" spans="2:8" x14ac:dyDescent="0.2">
      <c r="B386" s="23"/>
      <c r="C386" s="23"/>
      <c r="D386" s="23"/>
      <c r="E386" s="23"/>
      <c r="F386" s="23"/>
      <c r="G386" s="23"/>
      <c r="H386" s="23"/>
    </row>
    <row r="387" spans="2:8" x14ac:dyDescent="0.2">
      <c r="B387" s="23"/>
      <c r="C387" s="23"/>
      <c r="D387" s="23"/>
      <c r="E387" s="23"/>
      <c r="F387" s="23"/>
      <c r="G387" s="23"/>
      <c r="H387" s="23"/>
    </row>
    <row r="388" spans="2:8" x14ac:dyDescent="0.2">
      <c r="B388" s="23"/>
      <c r="C388" s="23"/>
      <c r="D388" s="23"/>
      <c r="E388" s="23"/>
      <c r="F388" s="23"/>
      <c r="G388" s="23"/>
      <c r="H388" s="23"/>
    </row>
    <row r="389" spans="2:8" x14ac:dyDescent="0.2">
      <c r="B389" s="23"/>
      <c r="C389" s="23"/>
      <c r="D389" s="23"/>
      <c r="E389" s="23"/>
      <c r="F389" s="23"/>
      <c r="G389" s="23"/>
      <c r="H389" s="23"/>
    </row>
    <row r="390" spans="2:8" x14ac:dyDescent="0.2">
      <c r="B390" s="23"/>
      <c r="C390" s="23"/>
      <c r="D390" s="23"/>
      <c r="E390" s="23"/>
      <c r="F390" s="23"/>
      <c r="G390" s="23"/>
      <c r="H390" s="23"/>
    </row>
    <row r="391" spans="2:8" x14ac:dyDescent="0.2">
      <c r="B391" s="23"/>
      <c r="C391" s="23"/>
      <c r="D391" s="23"/>
      <c r="E391" s="23"/>
      <c r="F391" s="23"/>
      <c r="G391" s="23"/>
      <c r="H391" s="23"/>
    </row>
    <row r="392" spans="2:8" x14ac:dyDescent="0.2">
      <c r="B392" s="23"/>
      <c r="C392" s="23"/>
      <c r="D392" s="23"/>
      <c r="E392" s="23"/>
      <c r="F392" s="23"/>
      <c r="G392" s="23"/>
      <c r="H392" s="23"/>
    </row>
    <row r="393" spans="2:8" x14ac:dyDescent="0.2">
      <c r="B393" s="23"/>
      <c r="C393" s="23"/>
      <c r="D393" s="23"/>
      <c r="E393" s="23"/>
      <c r="F393" s="23"/>
      <c r="G393" s="23"/>
      <c r="H393" s="23"/>
    </row>
    <row r="394" spans="2:8" x14ac:dyDescent="0.2">
      <c r="B394" s="23"/>
      <c r="C394" s="23"/>
      <c r="D394" s="23"/>
      <c r="E394" s="23"/>
      <c r="F394" s="23"/>
      <c r="G394" s="23"/>
      <c r="H394" s="23"/>
    </row>
    <row r="395" spans="2:8" x14ac:dyDescent="0.2">
      <c r="B395" s="23"/>
      <c r="C395" s="23"/>
      <c r="D395" s="23"/>
      <c r="E395" s="23"/>
      <c r="F395" s="23"/>
      <c r="G395" s="23"/>
      <c r="H395" s="23"/>
    </row>
    <row r="396" spans="2:8" x14ac:dyDescent="0.2">
      <c r="B396" s="23"/>
      <c r="C396" s="23"/>
      <c r="D396" s="23"/>
      <c r="E396" s="23"/>
      <c r="F396" s="23"/>
      <c r="G396" s="23"/>
      <c r="H396" s="23"/>
    </row>
    <row r="397" spans="2:8" x14ac:dyDescent="0.2">
      <c r="B397" s="23"/>
      <c r="C397" s="23"/>
      <c r="D397" s="23"/>
      <c r="E397" s="23"/>
      <c r="F397" s="23"/>
      <c r="G397" s="23"/>
      <c r="H397" s="23"/>
    </row>
    <row r="398" spans="2:8" x14ac:dyDescent="0.2">
      <c r="B398" s="23"/>
      <c r="C398" s="23"/>
      <c r="D398" s="23"/>
      <c r="E398" s="23"/>
      <c r="F398" s="23"/>
      <c r="G398" s="23"/>
      <c r="H398" s="23"/>
    </row>
    <row r="399" spans="2:8" x14ac:dyDescent="0.2">
      <c r="B399" s="23"/>
      <c r="C399" s="23"/>
      <c r="D399" s="23"/>
      <c r="E399" s="23"/>
      <c r="F399" s="23"/>
      <c r="G399" s="23"/>
      <c r="H399" s="23"/>
    </row>
    <row r="400" spans="2:8" x14ac:dyDescent="0.2">
      <c r="B400" s="23"/>
      <c r="C400" s="23"/>
      <c r="D400" s="23"/>
      <c r="E400" s="23"/>
      <c r="F400" s="23"/>
      <c r="G400" s="23"/>
      <c r="H400" s="23"/>
    </row>
    <row r="401" spans="2:8" x14ac:dyDescent="0.2">
      <c r="B401" s="23"/>
      <c r="C401" s="23"/>
      <c r="D401" s="23"/>
      <c r="E401" s="23"/>
      <c r="F401" s="23"/>
      <c r="G401" s="23"/>
      <c r="H401" s="23"/>
    </row>
    <row r="402" spans="2:8" x14ac:dyDescent="0.2">
      <c r="B402" s="23"/>
      <c r="C402" s="23"/>
      <c r="D402" s="23"/>
      <c r="E402" s="23"/>
      <c r="F402" s="23"/>
      <c r="G402" s="23"/>
      <c r="H402" s="23"/>
    </row>
    <row r="403" spans="2:8" x14ac:dyDescent="0.2">
      <c r="B403" s="23"/>
      <c r="C403" s="23"/>
      <c r="D403" s="23"/>
      <c r="E403" s="23"/>
      <c r="F403" s="23"/>
      <c r="G403" s="23"/>
      <c r="H403" s="23"/>
    </row>
    <row r="404" spans="2:8" x14ac:dyDescent="0.2">
      <c r="B404" s="23"/>
      <c r="C404" s="23"/>
      <c r="D404" s="23"/>
      <c r="E404" s="23"/>
      <c r="F404" s="23"/>
      <c r="G404" s="23"/>
      <c r="H404" s="23"/>
    </row>
    <row r="405" spans="2:8" x14ac:dyDescent="0.2">
      <c r="B405" s="23"/>
      <c r="C405" s="23"/>
      <c r="D405" s="23"/>
      <c r="E405" s="23"/>
      <c r="F405" s="23"/>
      <c r="G405" s="23"/>
      <c r="H405" s="23"/>
    </row>
    <row r="406" spans="2:8" x14ac:dyDescent="0.2">
      <c r="B406" s="23"/>
      <c r="C406" s="23"/>
      <c r="D406" s="23"/>
      <c r="E406" s="23"/>
      <c r="F406" s="23"/>
      <c r="G406" s="23"/>
      <c r="H406" s="23"/>
    </row>
    <row r="407" spans="2:8" x14ac:dyDescent="0.2">
      <c r="B407" s="23"/>
      <c r="C407" s="23"/>
      <c r="D407" s="23"/>
      <c r="E407" s="23"/>
      <c r="F407" s="23"/>
      <c r="G407" s="23"/>
      <c r="H407" s="23"/>
    </row>
    <row r="408" spans="2:8" x14ac:dyDescent="0.2">
      <c r="B408" s="23"/>
      <c r="C408" s="23"/>
      <c r="D408" s="23"/>
      <c r="E408" s="23"/>
      <c r="F408" s="23"/>
      <c r="G408" s="23"/>
      <c r="H408" s="23"/>
    </row>
    <row r="409" spans="2:8" x14ac:dyDescent="0.2">
      <c r="B409" s="23"/>
      <c r="C409" s="23"/>
      <c r="D409" s="23"/>
      <c r="E409" s="23"/>
      <c r="F409" s="23"/>
      <c r="G409" s="23"/>
      <c r="H409" s="23"/>
    </row>
    <row r="410" spans="2:8" x14ac:dyDescent="0.2">
      <c r="B410" s="23"/>
      <c r="C410" s="23"/>
      <c r="D410" s="23"/>
      <c r="E410" s="23"/>
      <c r="F410" s="23"/>
      <c r="G410" s="23"/>
      <c r="H410" s="23"/>
    </row>
    <row r="411" spans="2:8" x14ac:dyDescent="0.2">
      <c r="B411" s="23"/>
      <c r="C411" s="23"/>
      <c r="D411" s="23"/>
      <c r="E411" s="23"/>
      <c r="F411" s="23"/>
      <c r="G411" s="23"/>
      <c r="H411" s="23"/>
    </row>
    <row r="412" spans="2:8" x14ac:dyDescent="0.2">
      <c r="B412" s="23"/>
      <c r="C412" s="23"/>
      <c r="D412" s="23"/>
      <c r="E412" s="23"/>
      <c r="F412" s="23"/>
      <c r="G412" s="23"/>
      <c r="H412" s="23"/>
    </row>
    <row r="413" spans="2:8" x14ac:dyDescent="0.2">
      <c r="B413" s="23"/>
      <c r="C413" s="23"/>
      <c r="D413" s="23"/>
      <c r="E413" s="23"/>
      <c r="F413" s="23"/>
      <c r="G413" s="23"/>
      <c r="H413" s="23"/>
    </row>
    <row r="414" spans="2:8" x14ac:dyDescent="0.2">
      <c r="B414" s="23"/>
      <c r="C414" s="23"/>
      <c r="D414" s="23"/>
      <c r="E414" s="23"/>
      <c r="F414" s="23"/>
      <c r="G414" s="23"/>
      <c r="H414" s="23"/>
    </row>
    <row r="415" spans="2:8" x14ac:dyDescent="0.2">
      <c r="B415" s="23"/>
      <c r="C415" s="23"/>
      <c r="D415" s="23"/>
      <c r="E415" s="23"/>
      <c r="F415" s="23"/>
      <c r="G415" s="23"/>
      <c r="H415" s="23"/>
    </row>
    <row r="416" spans="2:8" x14ac:dyDescent="0.2">
      <c r="B416" s="23"/>
      <c r="C416" s="23"/>
      <c r="D416" s="23"/>
      <c r="E416" s="23"/>
      <c r="F416" s="23"/>
      <c r="G416" s="23"/>
      <c r="H416" s="23"/>
    </row>
    <row r="417" spans="2:8" x14ac:dyDescent="0.2">
      <c r="B417" s="23"/>
      <c r="C417" s="23"/>
      <c r="D417" s="23"/>
      <c r="E417" s="23"/>
      <c r="F417" s="23"/>
      <c r="G417" s="23"/>
      <c r="H417" s="23"/>
    </row>
    <row r="418" spans="2:8" x14ac:dyDescent="0.2">
      <c r="B418" s="23"/>
      <c r="C418" s="23"/>
      <c r="D418" s="23"/>
      <c r="E418" s="23"/>
      <c r="F418" s="23"/>
      <c r="G418" s="23"/>
      <c r="H418" s="23"/>
    </row>
    <row r="419" spans="2:8" x14ac:dyDescent="0.2">
      <c r="B419" s="23"/>
      <c r="C419" s="23"/>
      <c r="D419" s="23"/>
      <c r="E419" s="23"/>
      <c r="F419" s="23"/>
      <c r="G419" s="23"/>
      <c r="H419" s="23"/>
    </row>
    <row r="420" spans="2:8" x14ac:dyDescent="0.2">
      <c r="B420" s="23"/>
      <c r="C420" s="23"/>
      <c r="D420" s="23"/>
      <c r="E420" s="23"/>
      <c r="F420" s="23"/>
      <c r="G420" s="23"/>
      <c r="H420" s="23"/>
    </row>
    <row r="421" spans="2:8" x14ac:dyDescent="0.2">
      <c r="B421" s="23"/>
      <c r="C421" s="23"/>
      <c r="D421" s="23"/>
      <c r="E421" s="23"/>
      <c r="F421" s="23"/>
      <c r="G421" s="23"/>
      <c r="H421" s="23"/>
    </row>
    <row r="422" spans="2:8" x14ac:dyDescent="0.2">
      <c r="B422" s="23"/>
      <c r="C422" s="23"/>
      <c r="D422" s="23"/>
      <c r="E422" s="23"/>
      <c r="F422" s="23"/>
      <c r="G422" s="23"/>
      <c r="H422" s="23"/>
    </row>
    <row r="423" spans="2:8" x14ac:dyDescent="0.2">
      <c r="B423" s="23"/>
      <c r="C423" s="23"/>
      <c r="D423" s="23"/>
      <c r="E423" s="23"/>
      <c r="F423" s="23"/>
      <c r="G423" s="23"/>
      <c r="H423" s="23"/>
    </row>
    <row r="424" spans="2:8" x14ac:dyDescent="0.2">
      <c r="B424" s="23"/>
      <c r="C424" s="23"/>
      <c r="D424" s="23"/>
      <c r="E424" s="23"/>
      <c r="F424" s="23"/>
      <c r="G424" s="23"/>
      <c r="H424" s="23"/>
    </row>
    <row r="425" spans="2:8" x14ac:dyDescent="0.2">
      <c r="B425" s="23"/>
      <c r="C425" s="23"/>
      <c r="D425" s="23"/>
      <c r="E425" s="23"/>
      <c r="F425" s="23"/>
      <c r="G425" s="23"/>
      <c r="H425" s="23"/>
    </row>
    <row r="426" spans="2:8" x14ac:dyDescent="0.2">
      <c r="B426" s="23"/>
      <c r="C426" s="23"/>
      <c r="D426" s="23"/>
      <c r="E426" s="23"/>
      <c r="F426" s="23"/>
      <c r="G426" s="23"/>
      <c r="H426" s="23"/>
    </row>
    <row r="427" spans="2:8" x14ac:dyDescent="0.2">
      <c r="B427" s="23"/>
      <c r="C427" s="23"/>
      <c r="D427" s="23"/>
      <c r="E427" s="23"/>
      <c r="F427" s="23"/>
      <c r="G427" s="23"/>
      <c r="H427" s="23"/>
    </row>
    <row r="428" spans="2:8" x14ac:dyDescent="0.2">
      <c r="B428" s="23"/>
      <c r="C428" s="23"/>
      <c r="D428" s="23"/>
      <c r="E428" s="23"/>
      <c r="F428" s="23"/>
      <c r="G428" s="23"/>
      <c r="H428" s="23"/>
    </row>
    <row r="429" spans="2:8" x14ac:dyDescent="0.2">
      <c r="B429" s="23"/>
      <c r="C429" s="23"/>
      <c r="D429" s="23"/>
      <c r="E429" s="23"/>
      <c r="F429" s="23"/>
      <c r="G429" s="23"/>
      <c r="H429" s="23"/>
    </row>
    <row r="430" spans="2:8" x14ac:dyDescent="0.2">
      <c r="B430" s="23"/>
      <c r="C430" s="23"/>
      <c r="D430" s="23"/>
      <c r="E430" s="23"/>
      <c r="F430" s="23"/>
      <c r="G430" s="23"/>
      <c r="H430" s="23"/>
    </row>
    <row r="431" spans="2:8" x14ac:dyDescent="0.2">
      <c r="B431" s="23"/>
      <c r="C431" s="23"/>
      <c r="D431" s="23"/>
      <c r="E431" s="23"/>
      <c r="F431" s="23"/>
      <c r="G431" s="23"/>
      <c r="H431" s="23"/>
    </row>
    <row r="432" spans="2:8" x14ac:dyDescent="0.2">
      <c r="B432" s="23"/>
      <c r="C432" s="23"/>
      <c r="D432" s="23"/>
      <c r="E432" s="23"/>
      <c r="F432" s="23"/>
      <c r="G432" s="23"/>
      <c r="H432" s="23"/>
    </row>
    <row r="433" spans="2:8" x14ac:dyDescent="0.2">
      <c r="B433" s="23"/>
      <c r="C433" s="23"/>
      <c r="D433" s="23"/>
      <c r="E433" s="23"/>
      <c r="F433" s="23"/>
      <c r="G433" s="23"/>
      <c r="H433" s="23"/>
    </row>
    <row r="434" spans="2:8" x14ac:dyDescent="0.2">
      <c r="B434" s="23"/>
      <c r="C434" s="23"/>
      <c r="D434" s="23"/>
      <c r="E434" s="23"/>
      <c r="F434" s="23"/>
      <c r="G434" s="23"/>
      <c r="H434" s="23"/>
    </row>
    <row r="435" spans="2:8" x14ac:dyDescent="0.2">
      <c r="B435" s="23"/>
      <c r="C435" s="23"/>
      <c r="D435" s="23"/>
      <c r="E435" s="23"/>
      <c r="F435" s="23"/>
      <c r="G435" s="23"/>
      <c r="H435" s="23"/>
    </row>
    <row r="436" spans="2:8" x14ac:dyDescent="0.2">
      <c r="B436" s="23"/>
      <c r="C436" s="23"/>
      <c r="D436" s="23"/>
      <c r="E436" s="23"/>
      <c r="F436" s="23"/>
      <c r="G436" s="23"/>
      <c r="H436" s="23"/>
    </row>
    <row r="437" spans="2:8" x14ac:dyDescent="0.2">
      <c r="B437" s="23"/>
      <c r="C437" s="23"/>
      <c r="D437" s="23"/>
      <c r="E437" s="23"/>
      <c r="F437" s="23"/>
      <c r="G437" s="23"/>
      <c r="H437" s="23"/>
    </row>
    <row r="438" spans="2:8" x14ac:dyDescent="0.2">
      <c r="B438" s="23"/>
      <c r="C438" s="23"/>
      <c r="D438" s="23"/>
      <c r="E438" s="23"/>
      <c r="F438" s="23"/>
      <c r="G438" s="23"/>
      <c r="H438" s="23"/>
    </row>
    <row r="439" spans="2:8" x14ac:dyDescent="0.2">
      <c r="B439" s="23"/>
      <c r="C439" s="23"/>
      <c r="D439" s="23"/>
      <c r="E439" s="23"/>
      <c r="F439" s="23"/>
      <c r="G439" s="23"/>
      <c r="H439" s="23"/>
    </row>
    <row r="440" spans="2:8" x14ac:dyDescent="0.2">
      <c r="B440" s="23"/>
      <c r="C440" s="23"/>
      <c r="D440" s="23"/>
      <c r="E440" s="23"/>
      <c r="F440" s="23"/>
      <c r="G440" s="23"/>
      <c r="H440" s="23"/>
    </row>
    <row r="441" spans="2:8" x14ac:dyDescent="0.2">
      <c r="B441" s="23"/>
      <c r="C441" s="23"/>
      <c r="D441" s="23"/>
      <c r="E441" s="23"/>
      <c r="F441" s="23"/>
      <c r="G441" s="23"/>
      <c r="H441" s="23"/>
    </row>
    <row r="442" spans="2:8" x14ac:dyDescent="0.2">
      <c r="B442" s="23"/>
      <c r="C442" s="23"/>
      <c r="D442" s="23"/>
      <c r="E442" s="23"/>
      <c r="F442" s="23"/>
      <c r="G442" s="23"/>
      <c r="H442" s="23"/>
    </row>
    <row r="443" spans="2:8" x14ac:dyDescent="0.2">
      <c r="B443" s="23"/>
      <c r="C443" s="23"/>
      <c r="D443" s="23"/>
      <c r="E443" s="23"/>
      <c r="F443" s="23"/>
      <c r="G443" s="23"/>
      <c r="H443" s="23"/>
    </row>
    <row r="444" spans="2:8" x14ac:dyDescent="0.2">
      <c r="B444" s="23"/>
      <c r="C444" s="23"/>
      <c r="D444" s="23"/>
      <c r="E444" s="23"/>
      <c r="F444" s="23"/>
      <c r="G444" s="23"/>
      <c r="H444" s="23"/>
    </row>
    <row r="445" spans="2:8" x14ac:dyDescent="0.2">
      <c r="B445" s="23"/>
      <c r="C445" s="23"/>
      <c r="D445" s="23"/>
      <c r="E445" s="23"/>
      <c r="F445" s="23"/>
      <c r="G445" s="23"/>
      <c r="H445" s="23"/>
    </row>
    <row r="446" spans="2:8" x14ac:dyDescent="0.2">
      <c r="B446" s="23"/>
      <c r="C446" s="23"/>
      <c r="D446" s="23"/>
      <c r="E446" s="23"/>
      <c r="F446" s="23"/>
      <c r="G446" s="23"/>
      <c r="H446" s="23"/>
    </row>
    <row r="447" spans="2:8" x14ac:dyDescent="0.2">
      <c r="B447" s="23"/>
      <c r="C447" s="23"/>
      <c r="D447" s="23"/>
      <c r="E447" s="23"/>
      <c r="F447" s="23"/>
      <c r="G447" s="23"/>
      <c r="H447" s="23"/>
    </row>
    <row r="448" spans="2:8" x14ac:dyDescent="0.2">
      <c r="B448" s="23"/>
      <c r="C448" s="23"/>
      <c r="D448" s="23"/>
      <c r="E448" s="23"/>
      <c r="F448" s="23"/>
      <c r="G448" s="23"/>
      <c r="H448" s="23"/>
    </row>
    <row r="449" spans="2:8" x14ac:dyDescent="0.2">
      <c r="B449" s="23"/>
      <c r="C449" s="23"/>
      <c r="D449" s="23"/>
      <c r="E449" s="23"/>
      <c r="F449" s="23"/>
      <c r="G449" s="23"/>
      <c r="H449" s="23"/>
    </row>
    <row r="450" spans="2:8" x14ac:dyDescent="0.2">
      <c r="B450" s="23"/>
      <c r="C450" s="23"/>
      <c r="D450" s="23"/>
      <c r="E450" s="23"/>
      <c r="F450" s="23"/>
      <c r="G450" s="23"/>
      <c r="H450" s="23"/>
    </row>
    <row r="451" spans="2:8" x14ac:dyDescent="0.2">
      <c r="B451" s="23"/>
      <c r="C451" s="23"/>
      <c r="D451" s="23"/>
      <c r="E451" s="23"/>
      <c r="F451" s="23"/>
      <c r="G451" s="23"/>
      <c r="H451" s="23"/>
    </row>
    <row r="452" spans="2:8" x14ac:dyDescent="0.2">
      <c r="B452" s="23"/>
      <c r="C452" s="23"/>
      <c r="D452" s="23"/>
      <c r="E452" s="23"/>
      <c r="F452" s="23"/>
      <c r="G452" s="23"/>
      <c r="H452" s="23"/>
    </row>
    <row r="453" spans="2:8" x14ac:dyDescent="0.2">
      <c r="B453" s="23"/>
      <c r="C453" s="23"/>
      <c r="D453" s="23"/>
      <c r="E453" s="23"/>
      <c r="F453" s="23"/>
      <c r="G453" s="23"/>
      <c r="H453" s="23"/>
    </row>
    <row r="454" spans="2:8" x14ac:dyDescent="0.2">
      <c r="B454" s="23"/>
      <c r="C454" s="23"/>
      <c r="D454" s="23"/>
      <c r="E454" s="23"/>
      <c r="F454" s="23"/>
      <c r="G454" s="23"/>
      <c r="H454" s="23"/>
    </row>
    <row r="455" spans="2:8" x14ac:dyDescent="0.2">
      <c r="B455" s="23"/>
      <c r="C455" s="23"/>
      <c r="D455" s="23"/>
      <c r="E455" s="23"/>
      <c r="F455" s="23"/>
      <c r="G455" s="23"/>
      <c r="H455" s="23"/>
    </row>
    <row r="456" spans="2:8" x14ac:dyDescent="0.2">
      <c r="B456" s="23"/>
      <c r="C456" s="23"/>
      <c r="D456" s="23"/>
      <c r="E456" s="23"/>
      <c r="F456" s="23"/>
      <c r="G456" s="23"/>
      <c r="H456" s="23"/>
    </row>
    <row r="457" spans="2:8" x14ac:dyDescent="0.2">
      <c r="B457" s="23"/>
      <c r="C457" s="23"/>
      <c r="D457" s="23"/>
      <c r="E457" s="23"/>
      <c r="F457" s="23"/>
      <c r="G457" s="23"/>
      <c r="H457" s="23"/>
    </row>
    <row r="458" spans="2:8" x14ac:dyDescent="0.2">
      <c r="B458" s="23"/>
      <c r="C458" s="23"/>
      <c r="D458" s="23"/>
      <c r="E458" s="23"/>
      <c r="F458" s="23"/>
      <c r="G458" s="23"/>
      <c r="H458" s="23"/>
    </row>
    <row r="459" spans="2:8" x14ac:dyDescent="0.2">
      <c r="B459" s="23"/>
      <c r="C459" s="23"/>
      <c r="D459" s="23"/>
      <c r="E459" s="23"/>
      <c r="F459" s="23"/>
      <c r="G459" s="23"/>
      <c r="H459" s="23"/>
    </row>
    <row r="460" spans="2:8" x14ac:dyDescent="0.2">
      <c r="B460" s="23"/>
      <c r="C460" s="23"/>
      <c r="D460" s="23"/>
      <c r="E460" s="23"/>
      <c r="F460" s="23"/>
      <c r="G460" s="23"/>
      <c r="H460" s="23"/>
    </row>
    <row r="461" spans="2:8" x14ac:dyDescent="0.2">
      <c r="B461" s="23"/>
      <c r="C461" s="23"/>
      <c r="D461" s="23"/>
      <c r="E461" s="23"/>
      <c r="F461" s="23"/>
      <c r="G461" s="23"/>
      <c r="H461" s="23"/>
    </row>
    <row r="462" spans="2:8" x14ac:dyDescent="0.2">
      <c r="B462" s="23"/>
      <c r="C462" s="23"/>
      <c r="D462" s="23"/>
      <c r="E462" s="23"/>
      <c r="F462" s="23"/>
      <c r="G462" s="23"/>
      <c r="H462" s="23"/>
    </row>
    <row r="463" spans="2:8" x14ac:dyDescent="0.2">
      <c r="B463" s="23"/>
      <c r="C463" s="23"/>
      <c r="D463" s="23"/>
      <c r="E463" s="23"/>
      <c r="F463" s="23"/>
      <c r="G463" s="23"/>
      <c r="H463" s="23"/>
    </row>
    <row r="464" spans="2:8" x14ac:dyDescent="0.2">
      <c r="B464" s="23"/>
      <c r="C464" s="23"/>
      <c r="D464" s="23"/>
      <c r="E464" s="23"/>
      <c r="F464" s="23"/>
      <c r="G464" s="23"/>
      <c r="H464" s="23"/>
    </row>
    <row r="465" spans="2:8" x14ac:dyDescent="0.2">
      <c r="B465" s="23"/>
      <c r="C465" s="23"/>
      <c r="D465" s="23"/>
      <c r="E465" s="23"/>
      <c r="F465" s="23"/>
      <c r="G465" s="23"/>
      <c r="H465" s="23"/>
    </row>
    <row r="466" spans="2:8" x14ac:dyDescent="0.2">
      <c r="B466" s="23"/>
      <c r="C466" s="23"/>
      <c r="D466" s="23"/>
      <c r="E466" s="23"/>
      <c r="F466" s="23"/>
      <c r="G466" s="23"/>
      <c r="H466" s="23"/>
    </row>
    <row r="467" spans="2:8" x14ac:dyDescent="0.2">
      <c r="B467" s="23"/>
      <c r="C467" s="23"/>
      <c r="D467" s="23"/>
      <c r="E467" s="23"/>
      <c r="F467" s="23"/>
      <c r="G467" s="23"/>
      <c r="H467" s="23"/>
    </row>
    <row r="468" spans="2:8" x14ac:dyDescent="0.2">
      <c r="B468" s="23"/>
      <c r="C468" s="23"/>
      <c r="D468" s="23"/>
      <c r="E468" s="23"/>
      <c r="F468" s="23"/>
      <c r="G468" s="23"/>
      <c r="H468" s="23"/>
    </row>
    <row r="469" spans="2:8" x14ac:dyDescent="0.2">
      <c r="B469" s="23"/>
      <c r="C469" s="23"/>
      <c r="D469" s="23"/>
      <c r="E469" s="23"/>
      <c r="F469" s="23"/>
      <c r="G469" s="23"/>
      <c r="H469" s="23"/>
    </row>
    <row r="470" spans="2:8" x14ac:dyDescent="0.2">
      <c r="B470" s="23"/>
      <c r="C470" s="23"/>
      <c r="D470" s="23"/>
      <c r="E470" s="23"/>
      <c r="F470" s="23"/>
      <c r="G470" s="23"/>
      <c r="H470" s="23"/>
    </row>
    <row r="471" spans="2:8" x14ac:dyDescent="0.2">
      <c r="B471" s="23"/>
      <c r="C471" s="23"/>
      <c r="D471" s="23"/>
      <c r="E471" s="23"/>
      <c r="F471" s="23"/>
      <c r="G471" s="23"/>
      <c r="H471" s="23"/>
    </row>
    <row r="472" spans="2:8" x14ac:dyDescent="0.2">
      <c r="B472" s="23"/>
      <c r="C472" s="23"/>
      <c r="D472" s="23"/>
      <c r="E472" s="23"/>
      <c r="F472" s="23"/>
      <c r="G472" s="23"/>
      <c r="H472" s="23"/>
    </row>
    <row r="473" spans="2:8" x14ac:dyDescent="0.2">
      <c r="B473" s="23"/>
      <c r="C473" s="23"/>
      <c r="D473" s="23"/>
      <c r="E473" s="23"/>
      <c r="F473" s="23"/>
      <c r="G473" s="23"/>
      <c r="H473" s="23"/>
    </row>
    <row r="474" spans="2:8" x14ac:dyDescent="0.2">
      <c r="B474" s="23"/>
      <c r="C474" s="23"/>
      <c r="D474" s="23"/>
      <c r="E474" s="23"/>
      <c r="F474" s="23"/>
      <c r="G474" s="23"/>
      <c r="H474" s="23"/>
    </row>
    <row r="475" spans="2:8" x14ac:dyDescent="0.2">
      <c r="B475" s="23"/>
      <c r="C475" s="23"/>
      <c r="D475" s="23"/>
      <c r="E475" s="23"/>
      <c r="F475" s="23"/>
      <c r="G475" s="23"/>
      <c r="H475" s="23"/>
    </row>
    <row r="476" spans="2:8" x14ac:dyDescent="0.2">
      <c r="B476" s="23"/>
      <c r="C476" s="23"/>
      <c r="D476" s="23"/>
      <c r="E476" s="23"/>
      <c r="F476" s="23"/>
      <c r="G476" s="23"/>
      <c r="H476" s="23"/>
    </row>
    <row r="477" spans="2:8" x14ac:dyDescent="0.2">
      <c r="B477" s="23"/>
      <c r="C477" s="23"/>
      <c r="D477" s="23"/>
      <c r="E477" s="23"/>
      <c r="F477" s="23"/>
      <c r="G477" s="23"/>
      <c r="H477" s="23"/>
    </row>
    <row r="478" spans="2:8" x14ac:dyDescent="0.2">
      <c r="B478" s="23"/>
      <c r="C478" s="23"/>
      <c r="D478" s="23"/>
      <c r="E478" s="23"/>
      <c r="F478" s="23"/>
      <c r="G478" s="23"/>
      <c r="H478" s="23"/>
    </row>
    <row r="479" spans="2:8" x14ac:dyDescent="0.2">
      <c r="B479" s="23"/>
      <c r="C479" s="23"/>
      <c r="D479" s="23"/>
      <c r="E479" s="23"/>
      <c r="F479" s="23"/>
      <c r="G479" s="23"/>
      <c r="H479" s="23"/>
    </row>
    <row r="480" spans="2:8" x14ac:dyDescent="0.2">
      <c r="B480" s="23"/>
      <c r="C480" s="23"/>
      <c r="D480" s="23"/>
      <c r="E480" s="23"/>
      <c r="F480" s="23"/>
      <c r="G480" s="23"/>
      <c r="H480" s="23"/>
    </row>
    <row r="481" spans="2:8" x14ac:dyDescent="0.2">
      <c r="B481" s="23"/>
      <c r="C481" s="23"/>
      <c r="D481" s="23"/>
      <c r="E481" s="23"/>
      <c r="F481" s="23"/>
      <c r="G481" s="23"/>
      <c r="H481" s="23"/>
    </row>
    <row r="482" spans="2:8" x14ac:dyDescent="0.2">
      <c r="B482" s="23"/>
      <c r="C482" s="23"/>
      <c r="D482" s="23"/>
      <c r="E482" s="23"/>
      <c r="F482" s="23"/>
      <c r="G482" s="23"/>
      <c r="H482" s="23"/>
    </row>
    <row r="483" spans="2:8" x14ac:dyDescent="0.2">
      <c r="B483" s="23"/>
      <c r="C483" s="23"/>
      <c r="D483" s="23"/>
      <c r="E483" s="23"/>
      <c r="F483" s="23"/>
      <c r="G483" s="23"/>
      <c r="H483" s="23"/>
    </row>
    <row r="484" spans="2:8" x14ac:dyDescent="0.2">
      <c r="B484" s="23"/>
      <c r="C484" s="23"/>
      <c r="D484" s="23"/>
      <c r="E484" s="23"/>
      <c r="F484" s="23"/>
      <c r="G484" s="23"/>
      <c r="H484" s="23"/>
    </row>
    <row r="485" spans="2:8" x14ac:dyDescent="0.2">
      <c r="B485" s="23"/>
      <c r="C485" s="23"/>
      <c r="D485" s="23"/>
      <c r="E485" s="23"/>
      <c r="F485" s="23"/>
      <c r="G485" s="23"/>
      <c r="H485" s="23"/>
    </row>
    <row r="486" spans="2:8" x14ac:dyDescent="0.2">
      <c r="B486" s="23"/>
      <c r="C486" s="23"/>
      <c r="D486" s="23"/>
      <c r="E486" s="23"/>
      <c r="F486" s="23"/>
      <c r="G486" s="23"/>
      <c r="H486" s="23"/>
    </row>
    <row r="487" spans="2:8" x14ac:dyDescent="0.2">
      <c r="B487" s="23"/>
      <c r="C487" s="23"/>
      <c r="D487" s="23"/>
      <c r="E487" s="23"/>
      <c r="F487" s="23"/>
      <c r="G487" s="23"/>
      <c r="H487" s="23"/>
    </row>
    <row r="488" spans="2:8" x14ac:dyDescent="0.2">
      <c r="B488" s="23"/>
      <c r="C488" s="23"/>
      <c r="D488" s="23"/>
      <c r="E488" s="23"/>
      <c r="F488" s="23"/>
      <c r="G488" s="23"/>
      <c r="H488" s="23"/>
    </row>
    <row r="489" spans="2:8" x14ac:dyDescent="0.2">
      <c r="B489" s="23"/>
      <c r="C489" s="23"/>
      <c r="D489" s="23"/>
      <c r="E489" s="23"/>
      <c r="F489" s="23"/>
      <c r="G489" s="23"/>
      <c r="H489" s="23"/>
    </row>
    <row r="490" spans="2:8" x14ac:dyDescent="0.2">
      <c r="B490" s="23"/>
      <c r="C490" s="23"/>
      <c r="D490" s="23"/>
      <c r="E490" s="23"/>
      <c r="F490" s="23"/>
      <c r="G490" s="23"/>
      <c r="H490" s="23"/>
    </row>
    <row r="491" spans="2:8" x14ac:dyDescent="0.2">
      <c r="B491" s="23"/>
      <c r="C491" s="23"/>
      <c r="D491" s="23"/>
      <c r="E491" s="23"/>
      <c r="F491" s="23"/>
      <c r="G491" s="23"/>
      <c r="H491" s="23"/>
    </row>
    <row r="492" spans="2:8" x14ac:dyDescent="0.2">
      <c r="B492" s="23"/>
      <c r="C492" s="23"/>
      <c r="D492" s="23"/>
      <c r="E492" s="23"/>
      <c r="F492" s="23"/>
      <c r="G492" s="23"/>
      <c r="H492" s="23"/>
    </row>
    <row r="493" spans="2:8" x14ac:dyDescent="0.2">
      <c r="B493" s="23"/>
      <c r="C493" s="23"/>
      <c r="D493" s="23"/>
      <c r="E493" s="23"/>
      <c r="F493" s="23"/>
      <c r="G493" s="23"/>
      <c r="H493" s="23"/>
    </row>
    <row r="494" spans="2:8" x14ac:dyDescent="0.2">
      <c r="B494" s="23"/>
      <c r="C494" s="23"/>
      <c r="D494" s="23"/>
      <c r="E494" s="23"/>
      <c r="F494" s="23"/>
      <c r="G494" s="23"/>
      <c r="H494" s="23"/>
    </row>
    <row r="495" spans="2:8" x14ac:dyDescent="0.2">
      <c r="B495" s="23"/>
      <c r="C495" s="23"/>
      <c r="D495" s="23"/>
      <c r="E495" s="23"/>
      <c r="F495" s="23"/>
      <c r="G495" s="23"/>
      <c r="H495" s="23"/>
    </row>
    <row r="496" spans="2:8" x14ac:dyDescent="0.2">
      <c r="B496" s="23"/>
      <c r="C496" s="23"/>
      <c r="D496" s="23"/>
      <c r="E496" s="23"/>
      <c r="F496" s="23"/>
      <c r="G496" s="23"/>
      <c r="H496" s="23"/>
    </row>
    <row r="497" spans="2:8" x14ac:dyDescent="0.2">
      <c r="B497" s="23"/>
      <c r="C497" s="23"/>
      <c r="D497" s="23"/>
      <c r="E497" s="23"/>
      <c r="F497" s="23"/>
      <c r="G497" s="23"/>
      <c r="H497" s="23"/>
    </row>
    <row r="498" spans="2:8" x14ac:dyDescent="0.2">
      <c r="B498" s="23"/>
      <c r="C498" s="23"/>
      <c r="D498" s="23"/>
      <c r="E498" s="23"/>
      <c r="F498" s="23"/>
      <c r="G498" s="23"/>
      <c r="H498" s="23"/>
    </row>
    <row r="499" spans="2:8" x14ac:dyDescent="0.2">
      <c r="B499" s="23"/>
      <c r="C499" s="23"/>
      <c r="D499" s="23"/>
      <c r="E499" s="23"/>
      <c r="F499" s="23"/>
      <c r="G499" s="23"/>
      <c r="H499" s="23"/>
    </row>
    <row r="500" spans="2:8" x14ac:dyDescent="0.2">
      <c r="B500" s="23"/>
      <c r="C500" s="23"/>
      <c r="D500" s="23"/>
      <c r="E500" s="23"/>
      <c r="F500" s="23"/>
      <c r="G500" s="23"/>
      <c r="H500" s="23"/>
    </row>
    <row r="501" spans="2:8" x14ac:dyDescent="0.2">
      <c r="B501" s="23"/>
      <c r="C501" s="23"/>
      <c r="D501" s="23"/>
      <c r="E501" s="23"/>
      <c r="F501" s="23"/>
      <c r="G501" s="23"/>
      <c r="H501" s="23"/>
    </row>
    <row r="502" spans="2:8" x14ac:dyDescent="0.2">
      <c r="B502" s="23"/>
      <c r="C502" s="23"/>
      <c r="D502" s="23"/>
      <c r="E502" s="23"/>
      <c r="F502" s="23"/>
      <c r="G502" s="23"/>
      <c r="H502" s="23"/>
    </row>
    <row r="503" spans="2:8" x14ac:dyDescent="0.2">
      <c r="B503" s="23"/>
      <c r="C503" s="23"/>
      <c r="D503" s="23"/>
      <c r="E503" s="23"/>
      <c r="F503" s="23"/>
      <c r="G503" s="23"/>
      <c r="H503" s="23"/>
    </row>
    <row r="504" spans="2:8" x14ac:dyDescent="0.2">
      <c r="B504" s="23"/>
      <c r="C504" s="23"/>
      <c r="D504" s="23"/>
      <c r="E504" s="23"/>
      <c r="F504" s="23"/>
      <c r="G504" s="23"/>
      <c r="H504" s="23"/>
    </row>
    <row r="505" spans="2:8" x14ac:dyDescent="0.2">
      <c r="B505" s="23"/>
      <c r="C505" s="23"/>
      <c r="D505" s="23"/>
      <c r="E505" s="23"/>
      <c r="F505" s="23"/>
      <c r="G505" s="23"/>
      <c r="H505" s="23"/>
    </row>
    <row r="506" spans="2:8" x14ac:dyDescent="0.2">
      <c r="B506" s="23"/>
      <c r="C506" s="23"/>
      <c r="D506" s="23"/>
      <c r="E506" s="23"/>
      <c r="F506" s="23"/>
      <c r="G506" s="23"/>
      <c r="H506" s="23"/>
    </row>
    <row r="507" spans="2:8" x14ac:dyDescent="0.2">
      <c r="B507" s="23"/>
      <c r="C507" s="23"/>
      <c r="D507" s="23"/>
      <c r="E507" s="23"/>
      <c r="F507" s="23"/>
      <c r="G507" s="23"/>
      <c r="H507" s="23"/>
    </row>
    <row r="508" spans="2:8" x14ac:dyDescent="0.2">
      <c r="B508" s="23"/>
      <c r="C508" s="23"/>
      <c r="D508" s="23"/>
      <c r="E508" s="23"/>
      <c r="F508" s="23"/>
      <c r="G508" s="23"/>
      <c r="H508" s="23"/>
    </row>
    <row r="509" spans="2:8" x14ac:dyDescent="0.2">
      <c r="B509" s="23"/>
      <c r="C509" s="23"/>
      <c r="D509" s="23"/>
      <c r="E509" s="23"/>
      <c r="F509" s="23"/>
      <c r="G509" s="23"/>
      <c r="H509" s="23"/>
    </row>
    <row r="510" spans="2:8" x14ac:dyDescent="0.2">
      <c r="B510" s="23"/>
      <c r="C510" s="23"/>
      <c r="D510" s="23"/>
      <c r="E510" s="23"/>
      <c r="F510" s="23"/>
      <c r="G510" s="23"/>
      <c r="H510" s="23"/>
    </row>
    <row r="511" spans="2:8" x14ac:dyDescent="0.2">
      <c r="B511" s="23"/>
      <c r="C511" s="23"/>
      <c r="D511" s="23"/>
      <c r="E511" s="23"/>
      <c r="F511" s="23"/>
      <c r="G511" s="23"/>
      <c r="H511" s="23"/>
    </row>
    <row r="512" spans="2:8" x14ac:dyDescent="0.2">
      <c r="B512" s="23"/>
      <c r="C512" s="23"/>
      <c r="D512" s="23"/>
      <c r="E512" s="23"/>
      <c r="F512" s="23"/>
      <c r="G512" s="23"/>
      <c r="H512" s="23"/>
    </row>
    <row r="513" spans="2:8" x14ac:dyDescent="0.2">
      <c r="B513" s="23"/>
      <c r="C513" s="23"/>
      <c r="D513" s="23"/>
      <c r="E513" s="23"/>
      <c r="F513" s="23"/>
      <c r="G513" s="23"/>
      <c r="H513" s="23"/>
    </row>
    <row r="514" spans="2:8" x14ac:dyDescent="0.2">
      <c r="B514" s="23"/>
      <c r="C514" s="23"/>
      <c r="D514" s="23"/>
      <c r="E514" s="23"/>
      <c r="F514" s="23"/>
      <c r="G514" s="23"/>
      <c r="H514" s="23"/>
    </row>
    <row r="515" spans="2:8" x14ac:dyDescent="0.2">
      <c r="B515" s="23"/>
      <c r="C515" s="23"/>
      <c r="D515" s="23"/>
      <c r="E515" s="23"/>
      <c r="F515" s="23"/>
      <c r="G515" s="23"/>
      <c r="H515" s="23"/>
    </row>
    <row r="516" spans="2:8" x14ac:dyDescent="0.2">
      <c r="B516" s="23"/>
      <c r="C516" s="23"/>
      <c r="D516" s="23"/>
      <c r="E516" s="23"/>
      <c r="F516" s="23"/>
      <c r="G516" s="23"/>
      <c r="H516" s="23"/>
    </row>
    <row r="517" spans="2:8" x14ac:dyDescent="0.2">
      <c r="B517" s="23"/>
      <c r="C517" s="23"/>
      <c r="D517" s="23"/>
      <c r="E517" s="23"/>
      <c r="F517" s="23"/>
      <c r="G517" s="23"/>
      <c r="H517" s="23"/>
    </row>
    <row r="518" spans="2:8" x14ac:dyDescent="0.2">
      <c r="B518" s="23"/>
      <c r="C518" s="23"/>
      <c r="D518" s="23"/>
      <c r="E518" s="23"/>
      <c r="F518" s="23"/>
      <c r="G518" s="23"/>
      <c r="H518" s="23"/>
    </row>
    <row r="519" spans="2:8" x14ac:dyDescent="0.2">
      <c r="B519" s="23"/>
      <c r="C519" s="23"/>
      <c r="D519" s="23"/>
      <c r="E519" s="23"/>
      <c r="F519" s="23"/>
      <c r="G519" s="23"/>
      <c r="H519" s="23"/>
    </row>
    <row r="520" spans="2:8" x14ac:dyDescent="0.2">
      <c r="B520" s="23"/>
      <c r="C520" s="23"/>
      <c r="D520" s="23"/>
      <c r="E520" s="23"/>
      <c r="F520" s="23"/>
      <c r="G520" s="23"/>
      <c r="H520" s="23"/>
    </row>
    <row r="521" spans="2:8" x14ac:dyDescent="0.2">
      <c r="B521" s="23"/>
      <c r="C521" s="23"/>
      <c r="D521" s="23"/>
      <c r="E521" s="23"/>
      <c r="F521" s="23"/>
      <c r="G521" s="23"/>
      <c r="H521" s="23"/>
    </row>
    <row r="522" spans="2:8" x14ac:dyDescent="0.2">
      <c r="B522" s="23"/>
      <c r="C522" s="23"/>
      <c r="D522" s="23"/>
      <c r="E522" s="23"/>
      <c r="F522" s="23"/>
      <c r="G522" s="23"/>
      <c r="H522" s="23"/>
    </row>
    <row r="523" spans="2:8" x14ac:dyDescent="0.2">
      <c r="B523" s="23"/>
      <c r="C523" s="23"/>
      <c r="D523" s="23"/>
      <c r="E523" s="23"/>
      <c r="F523" s="23"/>
      <c r="G523" s="23"/>
      <c r="H523" s="23"/>
    </row>
    <row r="524" spans="2:8" x14ac:dyDescent="0.2">
      <c r="B524" s="23"/>
      <c r="C524" s="23"/>
      <c r="D524" s="23"/>
      <c r="E524" s="23"/>
      <c r="F524" s="23"/>
      <c r="G524" s="23"/>
      <c r="H524" s="23"/>
    </row>
    <row r="525" spans="2:8" x14ac:dyDescent="0.2">
      <c r="B525" s="23"/>
      <c r="C525" s="23"/>
      <c r="D525" s="23"/>
      <c r="E525" s="23"/>
      <c r="F525" s="23"/>
      <c r="G525" s="23"/>
      <c r="H525" s="23"/>
    </row>
    <row r="526" spans="2:8" x14ac:dyDescent="0.2">
      <c r="B526" s="23"/>
      <c r="C526" s="23"/>
      <c r="D526" s="23"/>
      <c r="E526" s="23"/>
      <c r="F526" s="23"/>
      <c r="G526" s="23"/>
      <c r="H526" s="23"/>
    </row>
    <row r="527" spans="2:8" x14ac:dyDescent="0.2">
      <c r="B527" s="23"/>
      <c r="C527" s="23"/>
      <c r="D527" s="23"/>
      <c r="E527" s="23"/>
      <c r="F527" s="23"/>
      <c r="G527" s="23"/>
      <c r="H527" s="23"/>
    </row>
    <row r="528" spans="2:8" x14ac:dyDescent="0.2">
      <c r="B528" s="23"/>
      <c r="C528" s="23"/>
      <c r="D528" s="23"/>
      <c r="E528" s="23"/>
      <c r="F528" s="23"/>
      <c r="G528" s="23"/>
      <c r="H528" s="23"/>
    </row>
    <row r="529" spans="2:8" x14ac:dyDescent="0.2">
      <c r="B529" s="23"/>
      <c r="C529" s="23"/>
      <c r="D529" s="23"/>
      <c r="E529" s="23"/>
      <c r="F529" s="23"/>
      <c r="G529" s="23"/>
      <c r="H529" s="23"/>
    </row>
    <row r="530" spans="2:8" x14ac:dyDescent="0.2">
      <c r="B530" s="23"/>
      <c r="C530" s="23"/>
      <c r="D530" s="23"/>
      <c r="E530" s="23"/>
      <c r="F530" s="23"/>
      <c r="G530" s="23"/>
      <c r="H530" s="23"/>
    </row>
    <row r="531" spans="2:8" x14ac:dyDescent="0.2">
      <c r="B531" s="23"/>
      <c r="C531" s="23"/>
      <c r="D531" s="23"/>
      <c r="E531" s="23"/>
      <c r="F531" s="23"/>
      <c r="G531" s="23"/>
      <c r="H531" s="23"/>
    </row>
    <row r="532" spans="2:8" x14ac:dyDescent="0.2">
      <c r="B532" s="23"/>
      <c r="C532" s="23"/>
      <c r="D532" s="23"/>
      <c r="E532" s="23"/>
      <c r="F532" s="23"/>
      <c r="G532" s="23"/>
      <c r="H532" s="23"/>
    </row>
    <row r="533" spans="2:8" x14ac:dyDescent="0.2">
      <c r="B533" s="23"/>
      <c r="C533" s="23"/>
      <c r="D533" s="23"/>
      <c r="E533" s="23"/>
      <c r="F533" s="23"/>
      <c r="G533" s="23"/>
      <c r="H533" s="23"/>
    </row>
    <row r="534" spans="2:8" x14ac:dyDescent="0.2">
      <c r="B534" s="23"/>
      <c r="C534" s="23"/>
      <c r="D534" s="23"/>
      <c r="E534" s="23"/>
      <c r="F534" s="23"/>
      <c r="G534" s="23"/>
      <c r="H534" s="23"/>
    </row>
    <row r="535" spans="2:8" x14ac:dyDescent="0.2">
      <c r="B535" s="23"/>
      <c r="C535" s="23"/>
      <c r="D535" s="23"/>
      <c r="E535" s="23"/>
      <c r="F535" s="23"/>
      <c r="G535" s="23"/>
      <c r="H535" s="23"/>
    </row>
    <row r="536" spans="2:8" x14ac:dyDescent="0.2">
      <c r="B536" s="23"/>
      <c r="C536" s="23"/>
      <c r="D536" s="23"/>
      <c r="E536" s="23"/>
      <c r="F536" s="23"/>
      <c r="G536" s="23"/>
      <c r="H536" s="23"/>
    </row>
    <row r="537" spans="2:8" x14ac:dyDescent="0.2">
      <c r="B537" s="23"/>
      <c r="C537" s="23"/>
      <c r="D537" s="23"/>
      <c r="E537" s="23"/>
      <c r="F537" s="23"/>
      <c r="G537" s="23"/>
      <c r="H537" s="23"/>
    </row>
    <row r="538" spans="2:8" x14ac:dyDescent="0.2">
      <c r="B538" s="23"/>
      <c r="C538" s="23"/>
      <c r="D538" s="23"/>
      <c r="E538" s="23"/>
      <c r="F538" s="23"/>
      <c r="G538" s="23"/>
      <c r="H538" s="23"/>
    </row>
    <row r="539" spans="2:8" x14ac:dyDescent="0.2">
      <c r="B539" s="23"/>
      <c r="C539" s="23"/>
      <c r="D539" s="23"/>
      <c r="E539" s="23"/>
      <c r="F539" s="23"/>
      <c r="G539" s="23"/>
      <c r="H539" s="23"/>
    </row>
    <row r="540" spans="2:8" x14ac:dyDescent="0.2">
      <c r="B540" s="23"/>
      <c r="C540" s="23"/>
      <c r="D540" s="23"/>
      <c r="E540" s="23"/>
      <c r="F540" s="23"/>
      <c r="G540" s="23"/>
      <c r="H540" s="23"/>
    </row>
    <row r="541" spans="2:8" x14ac:dyDescent="0.2">
      <c r="B541" s="23"/>
      <c r="C541" s="23"/>
      <c r="D541" s="23"/>
      <c r="E541" s="23"/>
      <c r="F541" s="23"/>
      <c r="G541" s="23"/>
      <c r="H541" s="23"/>
    </row>
    <row r="542" spans="2:8" x14ac:dyDescent="0.2">
      <c r="B542" s="23"/>
      <c r="C542" s="23"/>
      <c r="D542" s="23"/>
      <c r="E542" s="23"/>
      <c r="F542" s="23"/>
      <c r="G542" s="23"/>
      <c r="H542" s="23"/>
    </row>
    <row r="543" spans="2:8" x14ac:dyDescent="0.2">
      <c r="B543" s="23"/>
      <c r="C543" s="23"/>
      <c r="D543" s="23"/>
      <c r="E543" s="23"/>
      <c r="F543" s="23"/>
      <c r="G543" s="23"/>
      <c r="H543" s="23"/>
    </row>
    <row r="544" spans="2:8" x14ac:dyDescent="0.2">
      <c r="B544" s="23"/>
      <c r="C544" s="23"/>
      <c r="D544" s="23"/>
      <c r="E544" s="23"/>
      <c r="F544" s="23"/>
      <c r="G544" s="23"/>
      <c r="H544" s="23"/>
    </row>
    <row r="545" spans="2:8" x14ac:dyDescent="0.2">
      <c r="B545" s="23"/>
      <c r="C545" s="23"/>
      <c r="D545" s="23"/>
      <c r="E545" s="23"/>
      <c r="F545" s="23"/>
      <c r="G545" s="23"/>
      <c r="H545" s="23"/>
    </row>
    <row r="546" spans="2:8" x14ac:dyDescent="0.2">
      <c r="B546" s="23"/>
      <c r="C546" s="23"/>
      <c r="D546" s="23"/>
      <c r="E546" s="23"/>
      <c r="F546" s="23"/>
      <c r="G546" s="23"/>
      <c r="H546" s="23"/>
    </row>
    <row r="547" spans="2:8" x14ac:dyDescent="0.2">
      <c r="B547" s="23"/>
      <c r="C547" s="23"/>
      <c r="D547" s="23"/>
      <c r="E547" s="23"/>
      <c r="F547" s="23"/>
      <c r="G547" s="23"/>
      <c r="H547" s="23"/>
    </row>
    <row r="548" spans="2:8" x14ac:dyDescent="0.2">
      <c r="B548" s="23"/>
      <c r="C548" s="23"/>
      <c r="D548" s="23"/>
      <c r="E548" s="23"/>
      <c r="F548" s="23"/>
      <c r="G548" s="23"/>
      <c r="H548" s="23"/>
    </row>
    <row r="549" spans="2:8" x14ac:dyDescent="0.2">
      <c r="B549" s="23"/>
      <c r="C549" s="23"/>
      <c r="D549" s="23"/>
      <c r="E549" s="23"/>
      <c r="F549" s="23"/>
      <c r="G549" s="23"/>
      <c r="H549" s="23"/>
    </row>
    <row r="550" spans="2:8" x14ac:dyDescent="0.2">
      <c r="B550" s="23"/>
      <c r="C550" s="23"/>
      <c r="D550" s="23"/>
      <c r="E550" s="23"/>
      <c r="F550" s="23"/>
      <c r="G550" s="23"/>
      <c r="H550" s="23"/>
    </row>
    <row r="551" spans="2:8" x14ac:dyDescent="0.2">
      <c r="B551" s="23"/>
      <c r="C551" s="23"/>
      <c r="D551" s="23"/>
      <c r="E551" s="23"/>
      <c r="F551" s="23"/>
      <c r="G551" s="23"/>
      <c r="H551" s="23"/>
    </row>
    <row r="552" spans="2:8" x14ac:dyDescent="0.2">
      <c r="B552" s="23"/>
      <c r="C552" s="23"/>
      <c r="D552" s="23"/>
      <c r="E552" s="23"/>
      <c r="F552" s="23"/>
      <c r="G552" s="23"/>
      <c r="H552" s="23"/>
    </row>
    <row r="553" spans="2:8" x14ac:dyDescent="0.2">
      <c r="B553" s="23"/>
      <c r="C553" s="23"/>
      <c r="D553" s="23"/>
      <c r="E553" s="23"/>
      <c r="F553" s="23"/>
      <c r="G553" s="23"/>
      <c r="H553" s="23"/>
    </row>
    <row r="554" spans="2:8" x14ac:dyDescent="0.2">
      <c r="B554" s="23"/>
      <c r="C554" s="23"/>
      <c r="D554" s="23"/>
      <c r="E554" s="23"/>
      <c r="F554" s="23"/>
      <c r="G554" s="23"/>
      <c r="H554" s="23"/>
    </row>
    <row r="555" spans="2:8" x14ac:dyDescent="0.2">
      <c r="B555" s="23"/>
      <c r="C555" s="23"/>
      <c r="D555" s="23"/>
      <c r="E555" s="23"/>
      <c r="F555" s="23"/>
      <c r="G555" s="23"/>
      <c r="H555" s="23"/>
    </row>
    <row r="556" spans="2:8" x14ac:dyDescent="0.2">
      <c r="B556" s="23"/>
      <c r="C556" s="23"/>
      <c r="D556" s="23"/>
      <c r="E556" s="23"/>
      <c r="F556" s="23"/>
      <c r="G556" s="23"/>
      <c r="H556" s="23"/>
    </row>
    <row r="557" spans="2:8" x14ac:dyDescent="0.2">
      <c r="B557" s="23"/>
      <c r="C557" s="23"/>
      <c r="D557" s="23"/>
      <c r="E557" s="23"/>
      <c r="F557" s="23"/>
      <c r="G557" s="23"/>
      <c r="H557" s="23"/>
    </row>
    <row r="558" spans="2:8" x14ac:dyDescent="0.2">
      <c r="B558" s="23"/>
      <c r="C558" s="23"/>
      <c r="D558" s="23"/>
      <c r="E558" s="23"/>
      <c r="F558" s="23"/>
      <c r="G558" s="23"/>
      <c r="H558" s="23"/>
    </row>
    <row r="559" spans="2:8" x14ac:dyDescent="0.2">
      <c r="B559" s="23"/>
      <c r="C559" s="23"/>
      <c r="D559" s="23"/>
      <c r="E559" s="23"/>
      <c r="F559" s="23"/>
      <c r="G559" s="23"/>
      <c r="H559" s="23"/>
    </row>
    <row r="560" spans="2:8" x14ac:dyDescent="0.2">
      <c r="B560" s="23"/>
      <c r="C560" s="23"/>
      <c r="D560" s="23"/>
      <c r="E560" s="23"/>
      <c r="F560" s="23"/>
      <c r="G560" s="23"/>
      <c r="H560" s="23"/>
    </row>
    <row r="561" spans="2:8" x14ac:dyDescent="0.2">
      <c r="B561" s="23"/>
      <c r="C561" s="23"/>
      <c r="D561" s="23"/>
      <c r="E561" s="23"/>
      <c r="F561" s="23"/>
      <c r="G561" s="23"/>
      <c r="H561" s="23"/>
    </row>
    <row r="562" spans="2:8" x14ac:dyDescent="0.2">
      <c r="B562" s="23"/>
      <c r="C562" s="23"/>
      <c r="D562" s="23"/>
      <c r="E562" s="23"/>
      <c r="F562" s="23"/>
      <c r="G562" s="23"/>
      <c r="H562" s="23"/>
    </row>
    <row r="563" spans="2:8" x14ac:dyDescent="0.2">
      <c r="B563" s="23"/>
      <c r="C563" s="23"/>
      <c r="D563" s="23"/>
      <c r="E563" s="23"/>
      <c r="F563" s="23"/>
      <c r="G563" s="23"/>
      <c r="H563" s="23"/>
    </row>
    <row r="564" spans="2:8" x14ac:dyDescent="0.2">
      <c r="B564" s="23"/>
      <c r="C564" s="23"/>
      <c r="D564" s="23"/>
      <c r="E564" s="23"/>
      <c r="F564" s="23"/>
      <c r="G564" s="23"/>
      <c r="H564" s="23"/>
    </row>
    <row r="565" spans="2:8" x14ac:dyDescent="0.2">
      <c r="B565" s="23"/>
      <c r="C565" s="23"/>
      <c r="D565" s="23"/>
      <c r="E565" s="23"/>
      <c r="F565" s="23"/>
      <c r="G565" s="23"/>
      <c r="H565" s="23"/>
    </row>
    <row r="566" spans="2:8" x14ac:dyDescent="0.2">
      <c r="B566" s="23"/>
      <c r="C566" s="23"/>
      <c r="D566" s="23"/>
      <c r="E566" s="23"/>
      <c r="F566" s="23"/>
      <c r="G566" s="23"/>
      <c r="H566" s="23"/>
    </row>
    <row r="567" spans="2:8" x14ac:dyDescent="0.2">
      <c r="B567" s="23"/>
      <c r="C567" s="23"/>
      <c r="D567" s="23"/>
      <c r="E567" s="23"/>
      <c r="F567" s="23"/>
      <c r="G567" s="23"/>
      <c r="H567" s="23"/>
    </row>
    <row r="568" spans="2:8" x14ac:dyDescent="0.2">
      <c r="B568" s="23"/>
      <c r="C568" s="23"/>
      <c r="D568" s="23"/>
      <c r="E568" s="23"/>
      <c r="F568" s="23"/>
      <c r="G568" s="23"/>
      <c r="H568" s="23"/>
    </row>
    <row r="569" spans="2:8" x14ac:dyDescent="0.2">
      <c r="B569" s="23"/>
      <c r="C569" s="23"/>
      <c r="D569" s="23"/>
      <c r="E569" s="23"/>
      <c r="F569" s="23"/>
      <c r="G569" s="23"/>
      <c r="H569" s="23"/>
    </row>
    <row r="570" spans="2:8" x14ac:dyDescent="0.2">
      <c r="B570" s="23"/>
      <c r="C570" s="23"/>
      <c r="D570" s="23"/>
      <c r="E570" s="23"/>
      <c r="F570" s="23"/>
      <c r="G570" s="23"/>
      <c r="H570" s="23"/>
    </row>
    <row r="571" spans="2:8" x14ac:dyDescent="0.2">
      <c r="B571" s="23"/>
      <c r="C571" s="23"/>
      <c r="D571" s="23"/>
      <c r="E571" s="23"/>
      <c r="F571" s="23"/>
      <c r="G571" s="23"/>
      <c r="H571" s="23"/>
    </row>
    <row r="572" spans="2:8" x14ac:dyDescent="0.2">
      <c r="B572" s="23"/>
      <c r="C572" s="23"/>
      <c r="D572" s="23"/>
      <c r="E572" s="23"/>
      <c r="F572" s="23"/>
      <c r="G572" s="23"/>
      <c r="H572" s="23"/>
    </row>
    <row r="573" spans="2:8" x14ac:dyDescent="0.2">
      <c r="B573" s="23"/>
      <c r="C573" s="23"/>
      <c r="D573" s="23"/>
      <c r="E573" s="23"/>
      <c r="F573" s="23"/>
      <c r="G573" s="23"/>
      <c r="H573" s="23"/>
    </row>
    <row r="574" spans="2:8" x14ac:dyDescent="0.2">
      <c r="B574" s="23"/>
      <c r="C574" s="23"/>
      <c r="D574" s="23"/>
      <c r="E574" s="23"/>
      <c r="F574" s="23"/>
      <c r="G574" s="23"/>
      <c r="H574" s="23"/>
    </row>
    <row r="575" spans="2:8" x14ac:dyDescent="0.2">
      <c r="B575" s="23"/>
      <c r="C575" s="23"/>
      <c r="D575" s="23"/>
      <c r="E575" s="23"/>
      <c r="F575" s="23"/>
      <c r="G575" s="23"/>
      <c r="H575" s="23"/>
    </row>
    <row r="576" spans="2:8" x14ac:dyDescent="0.2">
      <c r="B576" s="23"/>
      <c r="C576" s="23"/>
      <c r="D576" s="23"/>
      <c r="E576" s="23"/>
      <c r="F576" s="23"/>
      <c r="G576" s="23"/>
      <c r="H576" s="23"/>
    </row>
    <row r="577" spans="2:8" x14ac:dyDescent="0.2">
      <c r="B577" s="23"/>
      <c r="C577" s="23"/>
      <c r="D577" s="23"/>
      <c r="E577" s="23"/>
      <c r="F577" s="23"/>
      <c r="G577" s="23"/>
      <c r="H577" s="23"/>
    </row>
    <row r="578" spans="2:8" x14ac:dyDescent="0.2">
      <c r="B578" s="23"/>
      <c r="C578" s="23"/>
      <c r="D578" s="23"/>
      <c r="E578" s="23"/>
      <c r="F578" s="23"/>
      <c r="G578" s="23"/>
      <c r="H578" s="23"/>
    </row>
    <row r="579" spans="2:8" x14ac:dyDescent="0.2">
      <c r="B579" s="23"/>
      <c r="C579" s="23"/>
      <c r="D579" s="23"/>
      <c r="E579" s="23"/>
      <c r="F579" s="23"/>
      <c r="G579" s="23"/>
      <c r="H579" s="23"/>
    </row>
    <row r="580" spans="2:8" x14ac:dyDescent="0.2">
      <c r="B580" s="23"/>
      <c r="C580" s="23"/>
      <c r="D580" s="23"/>
      <c r="E580" s="23"/>
      <c r="F580" s="23"/>
      <c r="G580" s="23"/>
      <c r="H580" s="23"/>
    </row>
    <row r="581" spans="2:8" x14ac:dyDescent="0.2">
      <c r="B581" s="23"/>
      <c r="C581" s="23"/>
      <c r="D581" s="23"/>
      <c r="E581" s="23"/>
      <c r="F581" s="23"/>
      <c r="G581" s="23"/>
      <c r="H581" s="23"/>
    </row>
    <row r="582" spans="2:8" x14ac:dyDescent="0.2">
      <c r="B582" s="23"/>
      <c r="C582" s="23"/>
      <c r="D582" s="23"/>
      <c r="E582" s="23"/>
      <c r="F582" s="23"/>
      <c r="G582" s="23"/>
      <c r="H582" s="23"/>
    </row>
    <row r="583" spans="2:8" x14ac:dyDescent="0.2">
      <c r="B583" s="23"/>
      <c r="C583" s="23"/>
      <c r="D583" s="23"/>
      <c r="E583" s="23"/>
      <c r="F583" s="23"/>
      <c r="G583" s="23"/>
      <c r="H583" s="23"/>
    </row>
    <row r="584" spans="2:8" x14ac:dyDescent="0.2">
      <c r="B584" s="23"/>
      <c r="C584" s="23"/>
      <c r="D584" s="23"/>
      <c r="E584" s="23"/>
      <c r="F584" s="23"/>
      <c r="G584" s="23"/>
      <c r="H584" s="23"/>
    </row>
    <row r="585" spans="2:8" x14ac:dyDescent="0.2">
      <c r="B585" s="23"/>
      <c r="C585" s="23"/>
      <c r="D585" s="23"/>
      <c r="E585" s="23"/>
      <c r="F585" s="23"/>
      <c r="G585" s="23"/>
      <c r="H585" s="23"/>
    </row>
    <row r="586" spans="2:8" x14ac:dyDescent="0.2">
      <c r="B586" s="23"/>
      <c r="C586" s="23"/>
      <c r="D586" s="23"/>
      <c r="E586" s="23"/>
      <c r="F586" s="23"/>
      <c r="G586" s="23"/>
      <c r="H586" s="23"/>
    </row>
    <row r="587" spans="2:8" x14ac:dyDescent="0.2">
      <c r="B587" s="23"/>
      <c r="C587" s="23"/>
      <c r="D587" s="23"/>
      <c r="E587" s="23"/>
      <c r="F587" s="23"/>
      <c r="G587" s="23"/>
      <c r="H587" s="23"/>
    </row>
    <row r="588" spans="2:8" x14ac:dyDescent="0.2">
      <c r="B588" s="23"/>
      <c r="C588" s="23"/>
      <c r="D588" s="23"/>
      <c r="E588" s="23"/>
      <c r="F588" s="23"/>
      <c r="G588" s="23"/>
      <c r="H588" s="23"/>
    </row>
    <row r="589" spans="2:8" x14ac:dyDescent="0.2">
      <c r="B589" s="23"/>
      <c r="C589" s="23"/>
      <c r="D589" s="23"/>
      <c r="E589" s="23"/>
      <c r="F589" s="23"/>
      <c r="G589" s="23"/>
      <c r="H589" s="23"/>
    </row>
    <row r="590" spans="2:8" x14ac:dyDescent="0.2">
      <c r="B590" s="23"/>
      <c r="C590" s="23"/>
      <c r="D590" s="23"/>
      <c r="E590" s="23"/>
      <c r="F590" s="23"/>
      <c r="G590" s="23"/>
      <c r="H590" s="23"/>
    </row>
    <row r="591" spans="2:8" x14ac:dyDescent="0.2">
      <c r="B591" s="23"/>
      <c r="C591" s="23"/>
      <c r="D591" s="23"/>
      <c r="E591" s="23"/>
      <c r="F591" s="23"/>
      <c r="G591" s="23"/>
      <c r="H591" s="23"/>
    </row>
    <row r="592" spans="2:8" x14ac:dyDescent="0.2">
      <c r="B592" s="23"/>
      <c r="C592" s="23"/>
      <c r="D592" s="23"/>
      <c r="E592" s="23"/>
      <c r="F592" s="23"/>
      <c r="G592" s="23"/>
      <c r="H592" s="23"/>
    </row>
    <row r="593" spans="2:8" x14ac:dyDescent="0.2">
      <c r="B593" s="23"/>
      <c r="C593" s="23"/>
      <c r="D593" s="23"/>
      <c r="E593" s="23"/>
      <c r="F593" s="23"/>
      <c r="G593" s="23"/>
      <c r="H593" s="23"/>
    </row>
    <row r="594" spans="2:8" x14ac:dyDescent="0.2">
      <c r="B594" s="23"/>
      <c r="C594" s="23"/>
      <c r="D594" s="23"/>
      <c r="E594" s="23"/>
      <c r="F594" s="23"/>
      <c r="G594" s="23"/>
      <c r="H594" s="23"/>
    </row>
    <row r="595" spans="2:8" x14ac:dyDescent="0.2">
      <c r="B595" s="23"/>
      <c r="C595" s="23"/>
      <c r="D595" s="23"/>
      <c r="E595" s="23"/>
      <c r="F595" s="23"/>
      <c r="G595" s="23"/>
      <c r="H595" s="23"/>
    </row>
    <row r="596" spans="2:8" x14ac:dyDescent="0.2">
      <c r="B596" s="23"/>
      <c r="C596" s="23"/>
      <c r="D596" s="23"/>
      <c r="E596" s="23"/>
      <c r="F596" s="23"/>
      <c r="G596" s="23"/>
      <c r="H596" s="23"/>
    </row>
    <row r="597" spans="2:8" x14ac:dyDescent="0.2">
      <c r="B597" s="23"/>
      <c r="C597" s="23"/>
      <c r="D597" s="23"/>
      <c r="E597" s="23"/>
      <c r="F597" s="23"/>
      <c r="G597" s="23"/>
      <c r="H597" s="23"/>
    </row>
    <row r="598" spans="2:8" x14ac:dyDescent="0.2">
      <c r="B598" s="23"/>
      <c r="C598" s="23"/>
      <c r="D598" s="23"/>
      <c r="E598" s="23"/>
      <c r="F598" s="23"/>
      <c r="G598" s="23"/>
      <c r="H598" s="23"/>
    </row>
    <row r="599" spans="2:8" x14ac:dyDescent="0.2">
      <c r="B599" s="23"/>
      <c r="C599" s="23"/>
      <c r="D599" s="23"/>
      <c r="E599" s="23"/>
      <c r="F599" s="23"/>
      <c r="G599" s="23"/>
      <c r="H599" s="23"/>
    </row>
    <row r="600" spans="2:8" x14ac:dyDescent="0.2">
      <c r="B600" s="23"/>
      <c r="C600" s="23"/>
      <c r="D600" s="23"/>
      <c r="E600" s="23"/>
      <c r="F600" s="23"/>
      <c r="G600" s="23"/>
      <c r="H600" s="23"/>
    </row>
    <row r="601" spans="2:8" x14ac:dyDescent="0.2">
      <c r="B601" s="23"/>
      <c r="C601" s="23"/>
      <c r="D601" s="23"/>
      <c r="E601" s="23"/>
      <c r="F601" s="23"/>
      <c r="G601" s="23"/>
      <c r="H601" s="23"/>
    </row>
    <row r="602" spans="2:8" x14ac:dyDescent="0.2">
      <c r="B602" s="23"/>
      <c r="C602" s="23"/>
      <c r="D602" s="23"/>
      <c r="E602" s="23"/>
      <c r="F602" s="23"/>
      <c r="G602" s="23"/>
      <c r="H602" s="23"/>
    </row>
    <row r="603" spans="2:8" x14ac:dyDescent="0.2">
      <c r="B603" s="23"/>
      <c r="C603" s="23"/>
      <c r="D603" s="23"/>
      <c r="E603" s="23"/>
      <c r="F603" s="23"/>
      <c r="G603" s="23"/>
      <c r="H603" s="23"/>
    </row>
    <row r="604" spans="2:8" x14ac:dyDescent="0.2">
      <c r="B604" s="23"/>
      <c r="C604" s="23"/>
      <c r="D604" s="23"/>
      <c r="E604" s="23"/>
      <c r="F604" s="23"/>
      <c r="G604" s="23"/>
      <c r="H604" s="23"/>
    </row>
    <row r="605" spans="2:8" x14ac:dyDescent="0.2">
      <c r="B605" s="23"/>
      <c r="C605" s="23"/>
      <c r="D605" s="23"/>
      <c r="E605" s="23"/>
      <c r="F605" s="23"/>
      <c r="G605" s="23"/>
      <c r="H605" s="23"/>
    </row>
    <row r="606" spans="2:8" x14ac:dyDescent="0.2">
      <c r="B606" s="23"/>
      <c r="C606" s="23"/>
      <c r="D606" s="23"/>
      <c r="E606" s="23"/>
      <c r="F606" s="23"/>
      <c r="G606" s="23"/>
      <c r="H606" s="23"/>
    </row>
    <row r="607" spans="2:8" x14ac:dyDescent="0.2">
      <c r="B607" s="23"/>
      <c r="C607" s="23"/>
      <c r="D607" s="23"/>
      <c r="E607" s="23"/>
      <c r="F607" s="23"/>
      <c r="G607" s="23"/>
      <c r="H607" s="23"/>
    </row>
    <row r="608" spans="2:8" x14ac:dyDescent="0.2">
      <c r="B608" s="23"/>
      <c r="C608" s="23"/>
      <c r="D608" s="23"/>
      <c r="E608" s="23"/>
      <c r="F608" s="23"/>
      <c r="G608" s="23"/>
      <c r="H608" s="23"/>
    </row>
    <row r="609" spans="2:8" x14ac:dyDescent="0.2">
      <c r="B609" s="23"/>
      <c r="C609" s="23"/>
      <c r="D609" s="23"/>
      <c r="E609" s="23"/>
      <c r="F609" s="23"/>
      <c r="G609" s="23"/>
      <c r="H609" s="23"/>
    </row>
    <row r="610" spans="2:8" x14ac:dyDescent="0.2">
      <c r="B610" s="23"/>
      <c r="C610" s="23"/>
      <c r="D610" s="23"/>
      <c r="E610" s="23"/>
      <c r="F610" s="23"/>
      <c r="G610" s="23"/>
      <c r="H610" s="23"/>
    </row>
    <row r="611" spans="2:8" x14ac:dyDescent="0.2">
      <c r="B611" s="23"/>
      <c r="C611" s="23"/>
      <c r="D611" s="23"/>
      <c r="E611" s="23"/>
      <c r="F611" s="23"/>
      <c r="G611" s="23"/>
      <c r="H611" s="23"/>
    </row>
    <row r="612" spans="2:8" x14ac:dyDescent="0.2">
      <c r="B612" s="23"/>
      <c r="C612" s="23"/>
      <c r="D612" s="23"/>
      <c r="E612" s="23"/>
      <c r="F612" s="23"/>
      <c r="G612" s="23"/>
      <c r="H612" s="23"/>
    </row>
    <row r="613" spans="2:8" x14ac:dyDescent="0.2">
      <c r="B613" s="23"/>
      <c r="C613" s="23"/>
      <c r="D613" s="23"/>
      <c r="E613" s="23"/>
      <c r="F613" s="23"/>
      <c r="G613" s="23"/>
      <c r="H613" s="23"/>
    </row>
    <row r="614" spans="2:8" x14ac:dyDescent="0.2">
      <c r="B614" s="23"/>
      <c r="C614" s="23"/>
      <c r="D614" s="23"/>
      <c r="E614" s="23"/>
      <c r="F614" s="23"/>
      <c r="G614" s="23"/>
      <c r="H614" s="23"/>
    </row>
    <row r="615" spans="2:8" x14ac:dyDescent="0.2">
      <c r="B615" s="23"/>
      <c r="C615" s="23"/>
      <c r="D615" s="23"/>
      <c r="E615" s="23"/>
      <c r="F615" s="23"/>
      <c r="G615" s="23"/>
      <c r="H615" s="23"/>
    </row>
    <row r="616" spans="2:8" x14ac:dyDescent="0.2">
      <c r="B616" s="23"/>
      <c r="C616" s="23"/>
      <c r="D616" s="23"/>
      <c r="E616" s="23"/>
      <c r="F616" s="23"/>
      <c r="G616" s="23"/>
      <c r="H616" s="23"/>
    </row>
    <row r="617" spans="2:8" x14ac:dyDescent="0.2">
      <c r="B617" s="23"/>
      <c r="C617" s="23"/>
      <c r="D617" s="23"/>
      <c r="E617" s="23"/>
      <c r="F617" s="23"/>
      <c r="G617" s="23"/>
      <c r="H617" s="23"/>
    </row>
    <row r="618" spans="2:8" x14ac:dyDescent="0.2">
      <c r="B618" s="23"/>
      <c r="C618" s="23"/>
      <c r="D618" s="23"/>
      <c r="E618" s="23"/>
      <c r="F618" s="23"/>
      <c r="G618" s="23"/>
      <c r="H618" s="23"/>
    </row>
    <row r="619" spans="2:8" x14ac:dyDescent="0.2">
      <c r="B619" s="23"/>
      <c r="C619" s="23"/>
      <c r="D619" s="23"/>
      <c r="E619" s="23"/>
      <c r="F619" s="23"/>
      <c r="G619" s="23"/>
      <c r="H619" s="23"/>
    </row>
    <row r="620" spans="2:8" x14ac:dyDescent="0.2">
      <c r="B620" s="23"/>
      <c r="C620" s="23"/>
      <c r="D620" s="23"/>
      <c r="E620" s="23"/>
      <c r="F620" s="23"/>
      <c r="G620" s="23"/>
      <c r="H620" s="23"/>
    </row>
    <row r="621" spans="2:8" x14ac:dyDescent="0.2">
      <c r="B621" s="23"/>
      <c r="C621" s="23"/>
      <c r="D621" s="23"/>
      <c r="E621" s="23"/>
      <c r="F621" s="23"/>
      <c r="G621" s="23"/>
      <c r="H621" s="23"/>
    </row>
    <row r="622" spans="2:8" x14ac:dyDescent="0.2">
      <c r="B622" s="23"/>
      <c r="C622" s="23"/>
      <c r="D622" s="23"/>
      <c r="E622" s="23"/>
      <c r="F622" s="23"/>
      <c r="G622" s="23"/>
      <c r="H622" s="23"/>
    </row>
    <row r="623" spans="2:8" x14ac:dyDescent="0.2">
      <c r="B623" s="23"/>
      <c r="C623" s="23"/>
      <c r="D623" s="23"/>
      <c r="E623" s="23"/>
      <c r="F623" s="23"/>
      <c r="G623" s="23"/>
      <c r="H623" s="23"/>
    </row>
    <row r="624" spans="2:8" x14ac:dyDescent="0.2">
      <c r="B624" s="23"/>
      <c r="C624" s="23"/>
      <c r="D624" s="23"/>
      <c r="E624" s="23"/>
      <c r="F624" s="23"/>
      <c r="G624" s="23"/>
      <c r="H624" s="23"/>
    </row>
    <row r="625" spans="2:8" x14ac:dyDescent="0.2">
      <c r="B625" s="23"/>
      <c r="C625" s="23"/>
      <c r="D625" s="23"/>
      <c r="E625" s="23"/>
      <c r="F625" s="23"/>
      <c r="G625" s="23"/>
      <c r="H625" s="23"/>
    </row>
    <row r="626" spans="2:8" x14ac:dyDescent="0.2">
      <c r="B626" s="23"/>
      <c r="C626" s="23"/>
      <c r="D626" s="23"/>
      <c r="E626" s="23"/>
      <c r="F626" s="23"/>
      <c r="G626" s="23"/>
      <c r="H626" s="23"/>
    </row>
    <row r="627" spans="2:8" x14ac:dyDescent="0.2">
      <c r="B627" s="23"/>
      <c r="C627" s="23"/>
      <c r="D627" s="23"/>
      <c r="E627" s="23"/>
      <c r="F627" s="23"/>
      <c r="G627" s="23"/>
      <c r="H627" s="23"/>
    </row>
    <row r="628" spans="2:8" x14ac:dyDescent="0.2">
      <c r="B628" s="23"/>
      <c r="C628" s="23"/>
      <c r="D628" s="23"/>
      <c r="E628" s="23"/>
      <c r="F628" s="23"/>
      <c r="G628" s="23"/>
      <c r="H628" s="23"/>
    </row>
    <row r="629" spans="2:8" x14ac:dyDescent="0.2">
      <c r="B629" s="23"/>
      <c r="C629" s="23"/>
      <c r="D629" s="23"/>
      <c r="E629" s="23"/>
      <c r="F629" s="23"/>
      <c r="G629" s="23"/>
      <c r="H629" s="23"/>
    </row>
    <row r="630" spans="2:8" x14ac:dyDescent="0.2">
      <c r="B630" s="23"/>
      <c r="C630" s="23"/>
      <c r="D630" s="23"/>
      <c r="E630" s="23"/>
      <c r="F630" s="23"/>
      <c r="G630" s="23"/>
      <c r="H630" s="23"/>
    </row>
    <row r="631" spans="2:8" x14ac:dyDescent="0.2">
      <c r="B631" s="23"/>
      <c r="C631" s="23"/>
      <c r="D631" s="23"/>
      <c r="E631" s="23"/>
      <c r="F631" s="23"/>
      <c r="G631" s="23"/>
      <c r="H631" s="23"/>
    </row>
    <row r="632" spans="2:8" x14ac:dyDescent="0.2">
      <c r="B632" s="23"/>
      <c r="C632" s="23"/>
      <c r="D632" s="23"/>
      <c r="E632" s="23"/>
      <c r="F632" s="23"/>
      <c r="G632" s="23"/>
      <c r="H632" s="23"/>
    </row>
    <row r="633" spans="2:8" x14ac:dyDescent="0.2">
      <c r="B633" s="23"/>
      <c r="C633" s="23"/>
      <c r="D633" s="23"/>
      <c r="E633" s="23"/>
      <c r="F633" s="23"/>
      <c r="G633" s="23"/>
      <c r="H633" s="23"/>
    </row>
    <row r="634" spans="2:8" x14ac:dyDescent="0.2">
      <c r="B634" s="23"/>
      <c r="C634" s="23"/>
      <c r="D634" s="23"/>
      <c r="E634" s="23"/>
      <c r="F634" s="23"/>
      <c r="G634" s="23"/>
      <c r="H634" s="23"/>
    </row>
    <row r="635" spans="2:8" x14ac:dyDescent="0.2">
      <c r="B635" s="23"/>
      <c r="C635" s="23"/>
      <c r="D635" s="23"/>
      <c r="E635" s="23"/>
      <c r="F635" s="23"/>
      <c r="G635" s="23"/>
      <c r="H635" s="23"/>
    </row>
    <row r="636" spans="2:8" x14ac:dyDescent="0.2">
      <c r="B636" s="23"/>
      <c r="C636" s="23"/>
      <c r="D636" s="23"/>
      <c r="E636" s="23"/>
      <c r="F636" s="23"/>
      <c r="G636" s="23"/>
      <c r="H636" s="23"/>
    </row>
    <row r="637" spans="2:8" x14ac:dyDescent="0.2">
      <c r="B637" s="23"/>
      <c r="C637" s="23"/>
      <c r="D637" s="23"/>
      <c r="E637" s="23"/>
      <c r="F637" s="23"/>
      <c r="G637" s="23"/>
      <c r="H637" s="23"/>
    </row>
    <row r="638" spans="2:8" x14ac:dyDescent="0.2">
      <c r="B638" s="23"/>
      <c r="C638" s="23"/>
      <c r="D638" s="23"/>
      <c r="E638" s="23"/>
      <c r="F638" s="23"/>
      <c r="G638" s="23"/>
      <c r="H638" s="23"/>
    </row>
    <row r="639" spans="2:8" x14ac:dyDescent="0.2">
      <c r="B639" s="23"/>
      <c r="C639" s="23"/>
      <c r="D639" s="23"/>
      <c r="E639" s="23"/>
      <c r="F639" s="23"/>
      <c r="G639" s="23"/>
      <c r="H639" s="23"/>
    </row>
    <row r="640" spans="2:8" x14ac:dyDescent="0.2">
      <c r="B640" s="23"/>
      <c r="C640" s="23"/>
      <c r="D640" s="23"/>
      <c r="E640" s="23"/>
      <c r="F640" s="23"/>
      <c r="G640" s="23"/>
      <c r="H640" s="23"/>
    </row>
    <row r="641" spans="2:8" x14ac:dyDescent="0.2">
      <c r="B641" s="23"/>
      <c r="C641" s="23"/>
      <c r="D641" s="23"/>
      <c r="E641" s="23"/>
      <c r="F641" s="23"/>
      <c r="G641" s="23"/>
      <c r="H641" s="23"/>
    </row>
    <row r="642" spans="2:8" x14ac:dyDescent="0.2">
      <c r="B642" s="23"/>
      <c r="C642" s="23"/>
      <c r="D642" s="23"/>
      <c r="E642" s="23"/>
      <c r="F642" s="23"/>
      <c r="G642" s="23"/>
      <c r="H642" s="23"/>
    </row>
    <row r="643" spans="2:8" x14ac:dyDescent="0.2">
      <c r="B643" s="23"/>
      <c r="C643" s="23"/>
      <c r="D643" s="23"/>
      <c r="E643" s="23"/>
      <c r="F643" s="23"/>
      <c r="G643" s="23"/>
      <c r="H643" s="23"/>
    </row>
    <row r="644" spans="2:8" x14ac:dyDescent="0.2">
      <c r="B644" s="23"/>
      <c r="C644" s="23"/>
      <c r="D644" s="23"/>
      <c r="E644" s="23"/>
      <c r="F644" s="23"/>
      <c r="G644" s="23"/>
      <c r="H644" s="23"/>
    </row>
    <row r="645" spans="2:8" x14ac:dyDescent="0.2">
      <c r="B645" s="23"/>
      <c r="C645" s="23"/>
      <c r="D645" s="23"/>
      <c r="E645" s="23"/>
      <c r="F645" s="23"/>
      <c r="G645" s="23"/>
      <c r="H645" s="23"/>
    </row>
    <row r="646" spans="2:8" x14ac:dyDescent="0.2">
      <c r="B646" s="23"/>
      <c r="C646" s="23"/>
      <c r="D646" s="23"/>
      <c r="E646" s="23"/>
      <c r="F646" s="23"/>
      <c r="G646" s="23"/>
      <c r="H646" s="23"/>
    </row>
    <row r="647" spans="2:8" x14ac:dyDescent="0.2">
      <c r="B647" s="23"/>
      <c r="C647" s="23"/>
      <c r="D647" s="23"/>
      <c r="E647" s="23"/>
      <c r="F647" s="23"/>
      <c r="G647" s="23"/>
      <c r="H647" s="23"/>
    </row>
    <row r="648" spans="2:8" x14ac:dyDescent="0.2">
      <c r="B648" s="23"/>
      <c r="C648" s="23"/>
      <c r="D648" s="23"/>
      <c r="E648" s="23"/>
      <c r="F648" s="23"/>
      <c r="G648" s="23"/>
      <c r="H648" s="23"/>
    </row>
    <row r="649" spans="2:8" x14ac:dyDescent="0.2">
      <c r="B649" s="23"/>
      <c r="C649" s="23"/>
      <c r="D649" s="23"/>
      <c r="E649" s="23"/>
      <c r="F649" s="23"/>
      <c r="G649" s="23"/>
      <c r="H649" s="23"/>
    </row>
    <row r="650" spans="2:8" x14ac:dyDescent="0.2">
      <c r="B650" s="23"/>
      <c r="C650" s="23"/>
      <c r="D650" s="23"/>
      <c r="E650" s="23"/>
      <c r="F650" s="23"/>
      <c r="G650" s="23"/>
      <c r="H650" s="23"/>
    </row>
    <row r="651" spans="2:8" x14ac:dyDescent="0.2">
      <c r="B651" s="23"/>
      <c r="C651" s="23"/>
      <c r="D651" s="23"/>
      <c r="E651" s="23"/>
      <c r="F651" s="23"/>
      <c r="G651" s="23"/>
      <c r="H651" s="23"/>
    </row>
    <row r="652" spans="2:8" x14ac:dyDescent="0.2">
      <c r="B652" s="23"/>
      <c r="C652" s="23"/>
      <c r="D652" s="23"/>
      <c r="E652" s="23"/>
      <c r="F652" s="23"/>
      <c r="G652" s="23"/>
      <c r="H652" s="23"/>
    </row>
    <row r="653" spans="2:8" x14ac:dyDescent="0.2">
      <c r="B653" s="23"/>
      <c r="C653" s="23"/>
      <c r="D653" s="23"/>
      <c r="E653" s="23"/>
      <c r="F653" s="23"/>
      <c r="G653" s="23"/>
      <c r="H653" s="23"/>
    </row>
    <row r="654" spans="2:8" x14ac:dyDescent="0.2">
      <c r="B654" s="23"/>
      <c r="C654" s="23"/>
      <c r="D654" s="23"/>
      <c r="E654" s="23"/>
      <c r="F654" s="23"/>
      <c r="G654" s="23"/>
      <c r="H654" s="23"/>
    </row>
    <row r="655" spans="2:8" x14ac:dyDescent="0.2">
      <c r="B655" s="23"/>
      <c r="C655" s="23"/>
      <c r="D655" s="23"/>
      <c r="E655" s="23"/>
      <c r="F655" s="23"/>
      <c r="G655" s="23"/>
      <c r="H655" s="23"/>
    </row>
    <row r="656" spans="2:8" x14ac:dyDescent="0.2">
      <c r="B656" s="23"/>
      <c r="C656" s="23"/>
      <c r="D656" s="23"/>
      <c r="E656" s="23"/>
      <c r="F656" s="23"/>
      <c r="G656" s="23"/>
      <c r="H656" s="23"/>
    </row>
    <row r="657" spans="2:8" x14ac:dyDescent="0.2">
      <c r="B657" s="23"/>
      <c r="C657" s="23"/>
      <c r="D657" s="23"/>
      <c r="E657" s="23"/>
      <c r="F657" s="23"/>
      <c r="G657" s="23"/>
      <c r="H657" s="23"/>
    </row>
    <row r="658" spans="2:8" x14ac:dyDescent="0.2">
      <c r="B658" s="23"/>
      <c r="C658" s="23"/>
      <c r="D658" s="23"/>
      <c r="E658" s="23"/>
      <c r="F658" s="23"/>
      <c r="G658" s="23"/>
      <c r="H658" s="23"/>
    </row>
    <row r="659" spans="2:8" x14ac:dyDescent="0.2">
      <c r="B659" s="23"/>
      <c r="C659" s="23"/>
      <c r="D659" s="23"/>
      <c r="E659" s="23"/>
      <c r="F659" s="23"/>
      <c r="G659" s="23"/>
      <c r="H659" s="23"/>
    </row>
    <row r="660" spans="2:8" x14ac:dyDescent="0.2">
      <c r="B660" s="23"/>
      <c r="C660" s="23"/>
      <c r="D660" s="23"/>
      <c r="E660" s="23"/>
      <c r="F660" s="23"/>
      <c r="G660" s="23"/>
      <c r="H660" s="23"/>
    </row>
    <row r="661" spans="2:8" x14ac:dyDescent="0.2">
      <c r="B661" s="23"/>
      <c r="C661" s="23"/>
      <c r="D661" s="23"/>
      <c r="E661" s="23"/>
      <c r="F661" s="23"/>
      <c r="G661" s="23"/>
      <c r="H661" s="23"/>
    </row>
    <row r="662" spans="2:8" x14ac:dyDescent="0.2">
      <c r="B662" s="23"/>
      <c r="C662" s="23"/>
      <c r="D662" s="23"/>
      <c r="E662" s="23"/>
      <c r="F662" s="23"/>
      <c r="G662" s="23"/>
      <c r="H662" s="23"/>
    </row>
    <row r="663" spans="2:8" x14ac:dyDescent="0.2">
      <c r="B663" s="23"/>
      <c r="C663" s="23"/>
      <c r="D663" s="23"/>
      <c r="E663" s="23"/>
      <c r="F663" s="23"/>
      <c r="G663" s="23"/>
      <c r="H663" s="23"/>
    </row>
    <row r="664" spans="2:8" x14ac:dyDescent="0.2">
      <c r="B664" s="23"/>
      <c r="C664" s="23"/>
      <c r="D664" s="23"/>
      <c r="E664" s="23"/>
      <c r="F664" s="23"/>
      <c r="G664" s="23"/>
      <c r="H664" s="23"/>
    </row>
    <row r="665" spans="2:8" x14ac:dyDescent="0.2">
      <c r="B665" s="23"/>
      <c r="C665" s="23"/>
      <c r="D665" s="23"/>
      <c r="E665" s="23"/>
      <c r="F665" s="23"/>
      <c r="G665" s="23"/>
      <c r="H665" s="23"/>
    </row>
    <row r="666" spans="2:8" x14ac:dyDescent="0.2">
      <c r="B666" s="23"/>
      <c r="C666" s="23"/>
      <c r="D666" s="23"/>
      <c r="E666" s="23"/>
      <c r="F666" s="23"/>
      <c r="G666" s="23"/>
      <c r="H666" s="23"/>
    </row>
    <row r="667" spans="2:8" x14ac:dyDescent="0.2">
      <c r="B667" s="23"/>
      <c r="C667" s="23"/>
      <c r="D667" s="23"/>
      <c r="E667" s="23"/>
      <c r="F667" s="23"/>
      <c r="G667" s="23"/>
      <c r="H667" s="23"/>
    </row>
    <row r="668" spans="2:8" x14ac:dyDescent="0.2">
      <c r="B668" s="23"/>
      <c r="C668" s="23"/>
      <c r="D668" s="23"/>
      <c r="E668" s="23"/>
      <c r="F668" s="23"/>
      <c r="G668" s="23"/>
      <c r="H668" s="23"/>
    </row>
    <row r="669" spans="2:8" x14ac:dyDescent="0.2">
      <c r="B669" s="23"/>
      <c r="C669" s="23"/>
      <c r="D669" s="23"/>
      <c r="E669" s="23"/>
      <c r="F669" s="23"/>
      <c r="G669" s="23"/>
      <c r="H669" s="23"/>
    </row>
    <row r="670" spans="2:8" x14ac:dyDescent="0.2">
      <c r="B670" s="23"/>
      <c r="C670" s="23"/>
      <c r="D670" s="23"/>
      <c r="E670" s="23"/>
      <c r="F670" s="23"/>
      <c r="G670" s="23"/>
      <c r="H670" s="23"/>
    </row>
    <row r="671" spans="2:8" x14ac:dyDescent="0.2">
      <c r="B671" s="23"/>
      <c r="C671" s="23"/>
      <c r="D671" s="23"/>
      <c r="E671" s="23"/>
      <c r="F671" s="23"/>
      <c r="G671" s="23"/>
      <c r="H671" s="23"/>
    </row>
    <row r="672" spans="2:8" x14ac:dyDescent="0.2">
      <c r="B672" s="23"/>
      <c r="C672" s="23"/>
      <c r="D672" s="23"/>
      <c r="E672" s="23"/>
      <c r="F672" s="23"/>
      <c r="G672" s="23"/>
      <c r="H672" s="23"/>
    </row>
    <row r="673" spans="2:8" x14ac:dyDescent="0.2">
      <c r="B673" s="23"/>
      <c r="C673" s="23"/>
      <c r="D673" s="23"/>
      <c r="E673" s="23"/>
      <c r="F673" s="23"/>
      <c r="G673" s="23"/>
      <c r="H673" s="23"/>
    </row>
    <row r="674" spans="2:8" x14ac:dyDescent="0.2">
      <c r="B674" s="23"/>
      <c r="C674" s="23"/>
      <c r="D674" s="23"/>
      <c r="E674" s="23"/>
      <c r="F674" s="23"/>
      <c r="G674" s="23"/>
      <c r="H674" s="23"/>
    </row>
    <row r="675" spans="2:8" x14ac:dyDescent="0.2">
      <c r="B675" s="23"/>
      <c r="C675" s="23"/>
      <c r="D675" s="23"/>
      <c r="E675" s="23"/>
      <c r="F675" s="23"/>
      <c r="G675" s="23"/>
      <c r="H675" s="23"/>
    </row>
    <row r="676" spans="2:8" x14ac:dyDescent="0.2">
      <c r="B676" s="23"/>
      <c r="C676" s="23"/>
      <c r="D676" s="23"/>
      <c r="E676" s="23"/>
      <c r="F676" s="23"/>
      <c r="G676" s="23"/>
      <c r="H676" s="23"/>
    </row>
    <row r="677" spans="2:8" x14ac:dyDescent="0.2">
      <c r="B677" s="23"/>
      <c r="C677" s="23"/>
      <c r="D677" s="23"/>
      <c r="E677" s="23"/>
      <c r="F677" s="23"/>
      <c r="G677" s="23"/>
      <c r="H677" s="23"/>
    </row>
    <row r="678" spans="2:8" x14ac:dyDescent="0.2">
      <c r="B678" s="23"/>
      <c r="C678" s="23"/>
      <c r="D678" s="23"/>
      <c r="E678" s="23"/>
      <c r="F678" s="23"/>
      <c r="G678" s="23"/>
      <c r="H678" s="23"/>
    </row>
    <row r="679" spans="2:8" x14ac:dyDescent="0.2">
      <c r="B679" s="23"/>
      <c r="C679" s="23"/>
      <c r="D679" s="23"/>
      <c r="E679" s="23"/>
      <c r="F679" s="23"/>
      <c r="G679" s="23"/>
      <c r="H679" s="23"/>
    </row>
    <row r="680" spans="2:8" x14ac:dyDescent="0.2">
      <c r="B680" s="23"/>
      <c r="C680" s="23"/>
      <c r="D680" s="23"/>
      <c r="E680" s="23"/>
      <c r="F680" s="23"/>
      <c r="G680" s="23"/>
      <c r="H680" s="23"/>
    </row>
    <row r="681" spans="2:8" x14ac:dyDescent="0.2">
      <c r="B681" s="23"/>
      <c r="C681" s="23"/>
      <c r="D681" s="23"/>
      <c r="E681" s="23"/>
      <c r="F681" s="23"/>
      <c r="G681" s="23"/>
      <c r="H681" s="23"/>
    </row>
    <row r="682" spans="2:8" x14ac:dyDescent="0.2">
      <c r="B682" s="23"/>
      <c r="C682" s="23"/>
      <c r="D682" s="23"/>
      <c r="E682" s="23"/>
      <c r="F682" s="23"/>
      <c r="G682" s="23"/>
      <c r="H682" s="23"/>
    </row>
    <row r="683" spans="2:8" x14ac:dyDescent="0.2">
      <c r="B683" s="23"/>
      <c r="C683" s="23"/>
      <c r="D683" s="23"/>
      <c r="E683" s="23"/>
      <c r="F683" s="23"/>
      <c r="G683" s="23"/>
      <c r="H683" s="23"/>
    </row>
    <row r="684" spans="2:8" x14ac:dyDescent="0.2">
      <c r="B684" s="23"/>
      <c r="C684" s="23"/>
      <c r="D684" s="23"/>
      <c r="E684" s="23"/>
      <c r="F684" s="23"/>
      <c r="G684" s="23"/>
      <c r="H684" s="23"/>
    </row>
    <row r="685" spans="2:8" x14ac:dyDescent="0.2">
      <c r="B685" s="23"/>
      <c r="C685" s="23"/>
      <c r="D685" s="23"/>
      <c r="E685" s="23"/>
      <c r="F685" s="23"/>
      <c r="G685" s="23"/>
      <c r="H685" s="23"/>
    </row>
  </sheetData>
  <sheetProtection algorithmName="SHA-512" hashValue="8oJ/6ooZvZVO9MgNRfKwI4qSTCWye5lixe2cUdYfqQDdfrx3FrBt7Se0FX0hH5O5e6YFClJyl2+/WURWM1ruNg==" saltValue="b3k9qryACQblhxSwLvh4nQ==" spinCount="100000" sheet="1" objects="1" scenarios="1" selectLockedCells="1" selectUnlockedCells="1"/>
  <mergeCells count="7">
    <mergeCell ref="A1:H4"/>
    <mergeCell ref="B45:C45"/>
    <mergeCell ref="B7:C7"/>
    <mergeCell ref="B28:B42"/>
    <mergeCell ref="B14:H14"/>
    <mergeCell ref="B16:B24"/>
    <mergeCell ref="B26:H2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F9F6-9696-1D4C-9ECC-D665AD656D63}">
  <sheetPr codeName="Sheet2"/>
  <dimension ref="A1:BW182"/>
  <sheetViews>
    <sheetView workbookViewId="0">
      <selection activeCell="C52" sqref="C52"/>
    </sheetView>
  </sheetViews>
  <sheetFormatPr baseColWidth="10" defaultColWidth="11" defaultRowHeight="16" x14ac:dyDescent="0.2"/>
  <cols>
    <col min="1" max="1" width="6.83203125" style="23" customWidth="1"/>
    <col min="2" max="2" width="42.1640625" customWidth="1"/>
    <col min="3" max="3" width="71.6640625" bestFit="1" customWidth="1"/>
    <col min="4" max="4" width="15.83203125" customWidth="1"/>
    <col min="5" max="5" width="15" customWidth="1"/>
    <col min="6" max="6" width="16.1640625" customWidth="1"/>
    <col min="7" max="7" width="20.1640625" customWidth="1"/>
    <col min="8" max="8" width="19.1640625" bestFit="1" customWidth="1"/>
    <col min="9" max="75" width="10.83203125" style="23"/>
  </cols>
  <sheetData>
    <row r="1" spans="1:75" s="19" customFormat="1" ht="16" customHeight="1" x14ac:dyDescent="0.2">
      <c r="A1" s="75" t="s">
        <v>229</v>
      </c>
      <c r="B1" s="75"/>
      <c r="C1" s="75"/>
      <c r="D1" s="75"/>
      <c r="E1" s="75"/>
      <c r="F1" s="75"/>
      <c r="G1" s="75"/>
      <c r="H1" s="75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</row>
    <row r="2" spans="1:75" s="19" customFormat="1" ht="16" customHeight="1" x14ac:dyDescent="0.2">
      <c r="A2" s="75"/>
      <c r="B2" s="75"/>
      <c r="C2" s="75"/>
      <c r="D2" s="75"/>
      <c r="E2" s="75"/>
      <c r="F2" s="75"/>
      <c r="G2" s="75"/>
      <c r="H2" s="75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</row>
    <row r="3" spans="1:75" s="19" customFormat="1" ht="16" customHeight="1" x14ac:dyDescent="0.2">
      <c r="A3" s="75"/>
      <c r="B3" s="75"/>
      <c r="C3" s="75"/>
      <c r="D3" s="75"/>
      <c r="E3" s="75"/>
      <c r="F3" s="75"/>
      <c r="G3" s="75"/>
      <c r="H3" s="75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</row>
    <row r="4" spans="1:75" s="19" customFormat="1" ht="16" customHeight="1" x14ac:dyDescent="0.2">
      <c r="A4" s="75"/>
      <c r="B4" s="75"/>
      <c r="C4" s="75"/>
      <c r="D4" s="75"/>
      <c r="E4" s="75"/>
      <c r="F4" s="75"/>
      <c r="G4" s="75"/>
      <c r="H4" s="75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</row>
    <row r="5" spans="1:75" x14ac:dyDescent="0.2">
      <c r="C5" s="23"/>
      <c r="D5" s="23"/>
      <c r="E5" s="23"/>
      <c r="F5" s="23"/>
      <c r="G5" s="23"/>
      <c r="H5" s="23"/>
    </row>
    <row r="6" spans="1:75" ht="23" customHeight="1" x14ac:dyDescent="0.3">
      <c r="B6" s="99" t="s">
        <v>113</v>
      </c>
      <c r="C6" s="99"/>
      <c r="D6" s="23"/>
      <c r="E6" s="91" t="s">
        <v>181</v>
      </c>
      <c r="F6" s="92"/>
      <c r="G6" s="92"/>
      <c r="H6" s="93"/>
    </row>
    <row r="7" spans="1:75" ht="24" x14ac:dyDescent="0.3">
      <c r="B7" s="6" t="s">
        <v>69</v>
      </c>
      <c r="C7" s="6" t="s">
        <v>103</v>
      </c>
      <c r="D7" s="23"/>
      <c r="E7" s="94"/>
      <c r="F7" s="95"/>
      <c r="G7" s="95"/>
      <c r="H7" s="96"/>
    </row>
    <row r="8" spans="1:75" ht="26" x14ac:dyDescent="0.3">
      <c r="B8" s="1" t="s">
        <v>104</v>
      </c>
      <c r="C8" s="15">
        <v>80</v>
      </c>
      <c r="D8" s="23"/>
      <c r="E8" s="101"/>
      <c r="F8" s="102"/>
      <c r="G8" s="103"/>
      <c r="H8" s="40">
        <f>'02 - EVALUATION'!D12</f>
        <v>0</v>
      </c>
    </row>
    <row r="9" spans="1:75" ht="20" customHeight="1" x14ac:dyDescent="0.25">
      <c r="B9" s="1" t="s">
        <v>105</v>
      </c>
      <c r="C9" s="15">
        <v>65</v>
      </c>
      <c r="D9" s="23"/>
      <c r="E9" s="91" t="s">
        <v>184</v>
      </c>
      <c r="F9" s="92"/>
      <c r="G9" s="92"/>
      <c r="H9" s="93"/>
    </row>
    <row r="10" spans="1:75" ht="20" customHeight="1" x14ac:dyDescent="0.25">
      <c r="B10" s="1" t="s">
        <v>106</v>
      </c>
      <c r="C10" s="15">
        <v>55</v>
      </c>
      <c r="D10" s="23"/>
      <c r="E10" s="94"/>
      <c r="F10" s="95"/>
      <c r="G10" s="95"/>
      <c r="H10" s="96"/>
    </row>
    <row r="11" spans="1:75" ht="25" customHeight="1" x14ac:dyDescent="0.3">
      <c r="B11" s="1" t="s">
        <v>71</v>
      </c>
      <c r="C11" s="15">
        <v>55</v>
      </c>
      <c r="E11" s="26"/>
      <c r="F11" s="25"/>
      <c r="G11" s="25"/>
      <c r="H11" s="28">
        <f>IF('01 - INPUT'!D13='00 - FORM DATA'!E8,5%,IF('01 - INPUT'!D13='00 - FORM DATA'!E9,10%,IF('01 - INPUT'!D13='00 - FORM DATA'!E10,15%,IF('01 - INPUT'!D13='00 - FORM DATA'!E11,20%,IF('01 - INPUT'!D13='00 - FORM DATA'!E7,0%,25%)))))</f>
        <v>0</v>
      </c>
    </row>
    <row r="12" spans="1:75" x14ac:dyDescent="0.2">
      <c r="B12" s="23"/>
      <c r="C12" s="23"/>
      <c r="D12" s="23"/>
      <c r="E12" s="23"/>
      <c r="F12" s="23"/>
      <c r="G12" s="23"/>
      <c r="H12" s="23"/>
    </row>
    <row r="13" spans="1:75" ht="26" x14ac:dyDescent="0.3">
      <c r="B13" s="100" t="s">
        <v>121</v>
      </c>
      <c r="C13" s="100"/>
      <c r="D13" s="100"/>
      <c r="E13" s="100"/>
      <c r="F13" s="100"/>
      <c r="G13" s="100"/>
      <c r="H13" s="100"/>
    </row>
    <row r="14" spans="1:75" ht="20" customHeight="1" x14ac:dyDescent="0.3">
      <c r="B14" s="9" t="s">
        <v>112</v>
      </c>
      <c r="C14" s="9" t="s">
        <v>102</v>
      </c>
      <c r="D14" s="9" t="s">
        <v>107</v>
      </c>
      <c r="E14" s="9" t="s">
        <v>108</v>
      </c>
      <c r="F14" s="9" t="s">
        <v>109</v>
      </c>
      <c r="G14" s="9" t="s">
        <v>110</v>
      </c>
      <c r="H14" s="9" t="s">
        <v>115</v>
      </c>
    </row>
    <row r="15" spans="1:75" ht="20" x14ac:dyDescent="0.25">
      <c r="B15" s="80" t="s">
        <v>114</v>
      </c>
      <c r="C15" s="7" t="s">
        <v>111</v>
      </c>
      <c r="D15" s="34">
        <f>E15*10%</f>
        <v>0.4</v>
      </c>
      <c r="E15" s="34">
        <v>4</v>
      </c>
      <c r="F15" s="34">
        <f>E15*20%</f>
        <v>0.8</v>
      </c>
      <c r="G15" s="11">
        <f>SUM(D15:F15)*20%</f>
        <v>1.04</v>
      </c>
      <c r="H15" s="11">
        <f t="shared" ref="H15:H21" si="0">SUM(D15:G15)</f>
        <v>6.24</v>
      </c>
    </row>
    <row r="16" spans="1:75" ht="20" x14ac:dyDescent="0.25">
      <c r="B16" s="80"/>
      <c r="C16" s="7" t="s">
        <v>202</v>
      </c>
      <c r="D16" s="34">
        <f>E16*10%</f>
        <v>1.6</v>
      </c>
      <c r="E16" s="34">
        <v>16</v>
      </c>
      <c r="F16" s="34">
        <f t="shared" ref="F16:F21" si="1">E16*20%</f>
        <v>3.2</v>
      </c>
      <c r="G16" s="11">
        <f t="shared" ref="G16:G21" si="2">SUM(D16:F16)*20%</f>
        <v>4.16</v>
      </c>
      <c r="H16" s="11">
        <f t="shared" si="0"/>
        <v>24.96</v>
      </c>
    </row>
    <row r="17" spans="1:75" ht="20" x14ac:dyDescent="0.25">
      <c r="B17" s="80"/>
      <c r="C17" s="7" t="s">
        <v>203</v>
      </c>
      <c r="D17" s="34">
        <f t="shared" ref="D17:D21" si="3">E17*10%</f>
        <v>2.4000000000000004</v>
      </c>
      <c r="E17" s="34">
        <v>24</v>
      </c>
      <c r="F17" s="34">
        <f t="shared" si="1"/>
        <v>4.8000000000000007</v>
      </c>
      <c r="G17" s="11">
        <f t="shared" si="2"/>
        <v>6.24</v>
      </c>
      <c r="H17" s="11">
        <f t="shared" si="0"/>
        <v>37.44</v>
      </c>
    </row>
    <row r="18" spans="1:75" ht="20" x14ac:dyDescent="0.25">
      <c r="B18" s="80"/>
      <c r="C18" s="7" t="s">
        <v>204</v>
      </c>
      <c r="D18" s="34">
        <f t="shared" si="3"/>
        <v>1.6</v>
      </c>
      <c r="E18" s="34">
        <v>16</v>
      </c>
      <c r="F18" s="34">
        <f t="shared" si="1"/>
        <v>3.2</v>
      </c>
      <c r="G18" s="11">
        <f t="shared" si="2"/>
        <v>4.16</v>
      </c>
      <c r="H18" s="11">
        <f t="shared" si="0"/>
        <v>24.96</v>
      </c>
    </row>
    <row r="19" spans="1:75" ht="20" x14ac:dyDescent="0.25">
      <c r="B19" s="80"/>
      <c r="C19" s="7" t="s">
        <v>205</v>
      </c>
      <c r="D19" s="34">
        <f t="shared" si="3"/>
        <v>1.6</v>
      </c>
      <c r="E19" s="34">
        <v>16</v>
      </c>
      <c r="F19" s="34">
        <f t="shared" si="1"/>
        <v>3.2</v>
      </c>
      <c r="G19" s="11">
        <f t="shared" si="2"/>
        <v>4.16</v>
      </c>
      <c r="H19" s="11">
        <f t="shared" ref="H19" si="4">SUM(D19:G19)</f>
        <v>24.96</v>
      </c>
    </row>
    <row r="20" spans="1:75" ht="20" x14ac:dyDescent="0.25">
      <c r="B20" s="80"/>
      <c r="C20" s="7" t="s">
        <v>206</v>
      </c>
      <c r="D20" s="34">
        <f t="shared" si="3"/>
        <v>0.2</v>
      </c>
      <c r="E20" s="34">
        <v>2</v>
      </c>
      <c r="F20" s="34">
        <f t="shared" si="1"/>
        <v>0.4</v>
      </c>
      <c r="G20" s="11">
        <f t="shared" si="2"/>
        <v>0.52</v>
      </c>
      <c r="H20" s="11">
        <f t="shared" si="0"/>
        <v>3.12</v>
      </c>
    </row>
    <row r="21" spans="1:75" ht="20" x14ac:dyDescent="0.25">
      <c r="B21" s="80"/>
      <c r="C21" s="7" t="s">
        <v>207</v>
      </c>
      <c r="D21" s="34">
        <f t="shared" si="3"/>
        <v>1.6</v>
      </c>
      <c r="E21" s="34">
        <v>16</v>
      </c>
      <c r="F21" s="34">
        <f t="shared" si="1"/>
        <v>3.2</v>
      </c>
      <c r="G21" s="11">
        <f t="shared" si="2"/>
        <v>4.16</v>
      </c>
      <c r="H21" s="11">
        <f t="shared" si="0"/>
        <v>24.96</v>
      </c>
    </row>
    <row r="22" spans="1:75" s="1" customFormat="1" ht="20" x14ac:dyDescent="0.25">
      <c r="A22" s="23"/>
      <c r="B22" s="80"/>
      <c r="C22" s="10" t="s">
        <v>115</v>
      </c>
      <c r="D22" s="12">
        <f>SUM(D15:D21)</f>
        <v>9.4</v>
      </c>
      <c r="E22" s="12">
        <f>SUM(E15:E21)</f>
        <v>94</v>
      </c>
      <c r="F22" s="12">
        <f>SUM(F15:F21)</f>
        <v>18.8</v>
      </c>
      <c r="G22" s="12">
        <f>SUM(G15:G21)</f>
        <v>24.44</v>
      </c>
      <c r="H22" s="12">
        <f>SUM(H15:H21)</f>
        <v>146.64000000000001</v>
      </c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</row>
    <row r="23" spans="1:75" ht="24" x14ac:dyDescent="0.3">
      <c r="B23" s="80"/>
      <c r="C23" s="9" t="s">
        <v>116</v>
      </c>
      <c r="D23" s="13">
        <f>D22*$C$8</f>
        <v>752</v>
      </c>
      <c r="E23" s="13">
        <f>E22*$C$9</f>
        <v>6110</v>
      </c>
      <c r="F23" s="13">
        <f>F22*$C$10</f>
        <v>1034</v>
      </c>
      <c r="G23" s="13">
        <f>G22*$C$11</f>
        <v>1344.2</v>
      </c>
      <c r="H23" s="13">
        <f>SUM(D23:G23)</f>
        <v>9240.2000000000007</v>
      </c>
    </row>
    <row r="24" spans="1:75" x14ac:dyDescent="0.2">
      <c r="B24" s="23"/>
      <c r="C24" s="23"/>
      <c r="D24" s="23"/>
      <c r="E24" s="23"/>
      <c r="F24" s="23"/>
      <c r="G24" s="23"/>
      <c r="H24" s="23"/>
    </row>
    <row r="25" spans="1:75" ht="26" x14ac:dyDescent="0.3">
      <c r="B25" s="98" t="s">
        <v>180</v>
      </c>
      <c r="C25" s="98"/>
      <c r="D25" s="98"/>
      <c r="E25" s="98"/>
      <c r="F25" s="98"/>
      <c r="G25" s="98"/>
      <c r="H25" s="98"/>
    </row>
    <row r="26" spans="1:75" ht="24" x14ac:dyDescent="0.3">
      <c r="B26" s="9" t="s">
        <v>112</v>
      </c>
      <c r="C26" s="9" t="s">
        <v>102</v>
      </c>
      <c r="D26" s="9" t="s">
        <v>107</v>
      </c>
      <c r="E26" s="9" t="s">
        <v>108</v>
      </c>
      <c r="F26" s="9" t="s">
        <v>109</v>
      </c>
      <c r="G26" s="9" t="s">
        <v>110</v>
      </c>
      <c r="H26" s="9" t="s">
        <v>115</v>
      </c>
    </row>
    <row r="27" spans="1:75" ht="20" x14ac:dyDescent="0.25">
      <c r="B27" s="80" t="s">
        <v>172</v>
      </c>
      <c r="C27" s="7" t="s">
        <v>173</v>
      </c>
      <c r="D27" s="34">
        <f>$F27*5%</f>
        <v>0.4</v>
      </c>
      <c r="E27" s="34">
        <v>8</v>
      </c>
      <c r="F27" s="34">
        <v>8</v>
      </c>
      <c r="G27" s="11">
        <f>SUM(D27:F27)*20%</f>
        <v>3.28</v>
      </c>
      <c r="H27" s="11">
        <f t="shared" ref="H27:H31" si="5">SUM(D27:G27)</f>
        <v>19.68</v>
      </c>
    </row>
    <row r="28" spans="1:75" ht="20" x14ac:dyDescent="0.25">
      <c r="B28" s="80"/>
      <c r="C28" s="7" t="s">
        <v>208</v>
      </c>
      <c r="D28" s="34">
        <f t="shared" ref="D28:D39" si="6">$F28*5%</f>
        <v>0.8</v>
      </c>
      <c r="E28" s="34">
        <v>2</v>
      </c>
      <c r="F28" s="34">
        <v>16</v>
      </c>
      <c r="G28" s="11">
        <f t="shared" ref="G28:G39" si="7">SUM(D28:F28)*20%</f>
        <v>3.7600000000000002</v>
      </c>
      <c r="H28" s="11">
        <f t="shared" si="5"/>
        <v>22.560000000000002</v>
      </c>
    </row>
    <row r="29" spans="1:75" ht="20" x14ac:dyDescent="0.25">
      <c r="B29" s="80"/>
      <c r="C29" s="7" t="s">
        <v>177</v>
      </c>
      <c r="D29" s="34">
        <f t="shared" si="6"/>
        <v>0.8</v>
      </c>
      <c r="E29" s="34">
        <f t="shared" ref="E29:E39" si="8">$F29*10%</f>
        <v>1.6</v>
      </c>
      <c r="F29" s="34">
        <v>16</v>
      </c>
      <c r="G29" s="11">
        <f t="shared" si="7"/>
        <v>3.6799999999999997</v>
      </c>
      <c r="H29" s="11">
        <f t="shared" si="5"/>
        <v>22.08</v>
      </c>
    </row>
    <row r="30" spans="1:75" ht="20" x14ac:dyDescent="0.25">
      <c r="B30" s="80"/>
      <c r="C30" s="7" t="s">
        <v>209</v>
      </c>
      <c r="D30" s="34">
        <f t="shared" si="6"/>
        <v>0.8</v>
      </c>
      <c r="E30" s="34">
        <f t="shared" si="8"/>
        <v>1.6</v>
      </c>
      <c r="F30" s="34">
        <v>16</v>
      </c>
      <c r="G30" s="11">
        <f t="shared" si="7"/>
        <v>3.6799999999999997</v>
      </c>
      <c r="H30" s="11">
        <f t="shared" si="5"/>
        <v>22.08</v>
      </c>
    </row>
    <row r="31" spans="1:75" ht="20" x14ac:dyDescent="0.25">
      <c r="B31" s="80"/>
      <c r="C31" s="7" t="s">
        <v>194</v>
      </c>
      <c r="D31" s="34">
        <f t="shared" si="6"/>
        <v>0</v>
      </c>
      <c r="E31" s="34">
        <f t="shared" si="8"/>
        <v>0</v>
      </c>
      <c r="F31" s="47">
        <f>IF('01 - INPUT'!D76="No",0,24)</f>
        <v>0</v>
      </c>
      <c r="G31" s="11">
        <f t="shared" si="7"/>
        <v>0</v>
      </c>
      <c r="H31" s="11">
        <f t="shared" si="5"/>
        <v>0</v>
      </c>
    </row>
    <row r="32" spans="1:75" ht="20" x14ac:dyDescent="0.25">
      <c r="B32" s="80"/>
      <c r="C32" s="7" t="s">
        <v>174</v>
      </c>
      <c r="D32" s="34">
        <f t="shared" si="6"/>
        <v>0</v>
      </c>
      <c r="E32" s="34">
        <f t="shared" si="8"/>
        <v>0</v>
      </c>
      <c r="F32" s="47">
        <f>IF('01 - INPUT'!D43="No",0,16)</f>
        <v>0</v>
      </c>
      <c r="G32" s="11">
        <f t="shared" si="7"/>
        <v>0</v>
      </c>
      <c r="H32" s="11">
        <f t="shared" ref="H32:H34" si="9">SUM(D32:G32)</f>
        <v>0</v>
      </c>
    </row>
    <row r="33" spans="2:8" ht="20" x14ac:dyDescent="0.25">
      <c r="B33" s="80"/>
      <c r="C33" s="7" t="s">
        <v>210</v>
      </c>
      <c r="D33" s="34">
        <f t="shared" si="6"/>
        <v>0</v>
      </c>
      <c r="E33" s="34">
        <f t="shared" si="8"/>
        <v>0</v>
      </c>
      <c r="F33" s="47">
        <f>IF('01 - INPUT'!D56="No",0,8)</f>
        <v>0</v>
      </c>
      <c r="G33" s="11">
        <f t="shared" si="7"/>
        <v>0</v>
      </c>
      <c r="H33" s="11">
        <f t="shared" si="9"/>
        <v>0</v>
      </c>
    </row>
    <row r="34" spans="2:8" ht="20" x14ac:dyDescent="0.25">
      <c r="B34" s="80"/>
      <c r="C34" s="7" t="s">
        <v>219</v>
      </c>
      <c r="D34" s="34">
        <f t="shared" si="6"/>
        <v>0</v>
      </c>
      <c r="E34" s="34">
        <f t="shared" si="8"/>
        <v>0</v>
      </c>
      <c r="F34" s="47">
        <f>IF('01 - INPUT'!D55="No",0,8)</f>
        <v>0</v>
      </c>
      <c r="G34" s="11">
        <f t="shared" si="7"/>
        <v>0</v>
      </c>
      <c r="H34" s="11">
        <f t="shared" si="9"/>
        <v>0</v>
      </c>
    </row>
    <row r="35" spans="2:8" ht="20" x14ac:dyDescent="0.25">
      <c r="B35" s="80"/>
      <c r="C35" s="7" t="s">
        <v>212</v>
      </c>
      <c r="D35" s="34">
        <f t="shared" si="6"/>
        <v>0</v>
      </c>
      <c r="E35" s="34">
        <f t="shared" si="8"/>
        <v>0</v>
      </c>
      <c r="F35" s="47">
        <f>IF('01 - INPUT'!D106="No",0,16)</f>
        <v>0</v>
      </c>
      <c r="G35" s="11">
        <f t="shared" si="7"/>
        <v>0</v>
      </c>
      <c r="H35" s="11">
        <f t="shared" ref="H35" si="10">SUM(D35:G35)</f>
        <v>0</v>
      </c>
    </row>
    <row r="36" spans="2:8" ht="20" x14ac:dyDescent="0.25">
      <c r="B36" s="80"/>
      <c r="C36" s="7" t="s">
        <v>175</v>
      </c>
      <c r="D36" s="34">
        <f t="shared" si="6"/>
        <v>0.8</v>
      </c>
      <c r="E36" s="34">
        <f t="shared" si="8"/>
        <v>1.6</v>
      </c>
      <c r="F36" s="35">
        <v>16</v>
      </c>
      <c r="G36" s="11">
        <f t="shared" si="7"/>
        <v>3.6799999999999997</v>
      </c>
      <c r="H36" s="11">
        <f t="shared" ref="H36:H38" si="11">SUM(D36:G36)</f>
        <v>22.08</v>
      </c>
    </row>
    <row r="37" spans="2:8" ht="20" x14ac:dyDescent="0.25">
      <c r="B37" s="80"/>
      <c r="C37" s="7" t="s">
        <v>176</v>
      </c>
      <c r="D37" s="34">
        <f t="shared" si="6"/>
        <v>0.4</v>
      </c>
      <c r="E37" s="34">
        <f t="shared" si="8"/>
        <v>0.8</v>
      </c>
      <c r="F37" s="34">
        <v>8</v>
      </c>
      <c r="G37" s="11">
        <f t="shared" si="7"/>
        <v>1.8399999999999999</v>
      </c>
      <c r="H37" s="11">
        <f t="shared" si="11"/>
        <v>11.04</v>
      </c>
    </row>
    <row r="38" spans="2:8" ht="20" x14ac:dyDescent="0.25">
      <c r="B38" s="80"/>
      <c r="C38" s="7" t="s">
        <v>178</v>
      </c>
      <c r="D38" s="34">
        <f t="shared" si="6"/>
        <v>0.8</v>
      </c>
      <c r="E38" s="34">
        <f t="shared" si="8"/>
        <v>1.6</v>
      </c>
      <c r="F38" s="34">
        <v>16</v>
      </c>
      <c r="G38" s="11">
        <f t="shared" si="7"/>
        <v>3.6799999999999997</v>
      </c>
      <c r="H38" s="11">
        <f t="shared" si="11"/>
        <v>22.08</v>
      </c>
    </row>
    <row r="39" spans="2:8" ht="20" x14ac:dyDescent="0.25">
      <c r="B39" s="80"/>
      <c r="C39" s="7" t="s">
        <v>179</v>
      </c>
      <c r="D39" s="34">
        <f t="shared" si="6"/>
        <v>0.8</v>
      </c>
      <c r="E39" s="34">
        <f t="shared" si="8"/>
        <v>1.6</v>
      </c>
      <c r="F39" s="34">
        <v>16</v>
      </c>
      <c r="G39" s="11">
        <f t="shared" si="7"/>
        <v>3.6799999999999997</v>
      </c>
      <c r="H39" s="11">
        <f t="shared" ref="H39" si="12">SUM(D39:G39)</f>
        <v>22.08</v>
      </c>
    </row>
    <row r="40" spans="2:8" ht="20" x14ac:dyDescent="0.25">
      <c r="B40" s="80"/>
      <c r="C40" s="10" t="s">
        <v>115</v>
      </c>
      <c r="D40" s="12">
        <f>SUM(D27:D39)</f>
        <v>5.6</v>
      </c>
      <c r="E40" s="12">
        <f>SUM(E27:E39)</f>
        <v>18.8</v>
      </c>
      <c r="F40" s="12">
        <f>SUM(F27:F39)</f>
        <v>112</v>
      </c>
      <c r="G40" s="12">
        <f>SUM(G27:G39)</f>
        <v>27.279999999999998</v>
      </c>
      <c r="H40" s="12">
        <f>SUM(H27:H39)</f>
        <v>163.67999999999995</v>
      </c>
    </row>
    <row r="41" spans="2:8" ht="24" x14ac:dyDescent="0.3">
      <c r="B41" s="80"/>
      <c r="C41" s="9" t="s">
        <v>116</v>
      </c>
      <c r="D41" s="13">
        <f>D40*$C$8</f>
        <v>448</v>
      </c>
      <c r="E41" s="13">
        <f>E40*$C$9</f>
        <v>1222</v>
      </c>
      <c r="F41" s="13">
        <f>F40*$C$10</f>
        <v>6160</v>
      </c>
      <c r="G41" s="13">
        <f>G40*$C$11</f>
        <v>1500.3999999999999</v>
      </c>
      <c r="H41" s="13">
        <f>SUM(D41:G41)</f>
        <v>9330.4</v>
      </c>
    </row>
    <row r="42" spans="2:8" s="23" customFormat="1" x14ac:dyDescent="0.2"/>
    <row r="43" spans="2:8" s="23" customFormat="1" ht="26" x14ac:dyDescent="0.3">
      <c r="B43" s="97" t="s">
        <v>201</v>
      </c>
      <c r="C43" s="97"/>
      <c r="E43" s="90" t="s">
        <v>216</v>
      </c>
      <c r="F43" s="90"/>
      <c r="G43" s="90"/>
      <c r="H43" s="90"/>
    </row>
    <row r="44" spans="2:8" s="23" customFormat="1" ht="24" x14ac:dyDescent="0.3">
      <c r="B44" s="9" t="s">
        <v>182</v>
      </c>
      <c r="C44" s="9" t="s">
        <v>183</v>
      </c>
      <c r="E44" s="10" t="s">
        <v>213</v>
      </c>
      <c r="F44" s="104"/>
      <c r="G44" s="105"/>
      <c r="H44" s="37">
        <f>H41+H23</f>
        <v>18570.599999999999</v>
      </c>
    </row>
    <row r="45" spans="2:8" s="23" customFormat="1" ht="24" x14ac:dyDescent="0.3">
      <c r="B45" s="7" t="s">
        <v>186</v>
      </c>
      <c r="C45" s="27">
        <f>('04 - SERVICES QUOTE'!C9+'04 - SERVICES QUOTE'!C10)*'03 - SERVICES BASE'!H11</f>
        <v>0</v>
      </c>
      <c r="E45" s="38" t="s">
        <v>214</v>
      </c>
      <c r="F45" s="88"/>
      <c r="G45" s="89"/>
      <c r="H45" s="39">
        <f>$H$23/H44</f>
        <v>0.49757143010995886</v>
      </c>
    </row>
    <row r="46" spans="2:8" s="23" customFormat="1" ht="24" x14ac:dyDescent="0.3">
      <c r="B46" s="7" t="s">
        <v>185</v>
      </c>
      <c r="C46" s="27">
        <f>C52*'01 - INPUT'!D32</f>
        <v>0</v>
      </c>
      <c r="E46" s="38" t="s">
        <v>215</v>
      </c>
      <c r="F46" s="88"/>
      <c r="G46" s="89"/>
      <c r="H46" s="39">
        <f>H41/H44</f>
        <v>0.50242856989004125</v>
      </c>
    </row>
    <row r="47" spans="2:8" s="23" customFormat="1" ht="24" x14ac:dyDescent="0.3">
      <c r="B47" s="7" t="s">
        <v>187</v>
      </c>
      <c r="C47" s="27">
        <f>C53*'01 - INPUT'!D33</f>
        <v>0</v>
      </c>
    </row>
    <row r="48" spans="2:8" s="23" customFormat="1" ht="24" x14ac:dyDescent="0.3">
      <c r="B48" s="9" t="s">
        <v>116</v>
      </c>
      <c r="C48" s="13">
        <f>SUM(C45:C47)</f>
        <v>0</v>
      </c>
    </row>
    <row r="49" spans="2:3" s="23" customFormat="1" x14ac:dyDescent="0.2"/>
    <row r="50" spans="2:3" s="23" customFormat="1" ht="26" x14ac:dyDescent="0.3">
      <c r="B50" s="87" t="s">
        <v>224</v>
      </c>
      <c r="C50" s="87"/>
    </row>
    <row r="51" spans="2:3" s="23" customFormat="1" ht="24" x14ac:dyDescent="0.3">
      <c r="B51" s="9" t="s">
        <v>222</v>
      </c>
      <c r="C51" s="9" t="s">
        <v>223</v>
      </c>
    </row>
    <row r="52" spans="2:3" s="23" customFormat="1" ht="24" x14ac:dyDescent="0.3">
      <c r="B52" s="7" t="s">
        <v>225</v>
      </c>
      <c r="C52" s="27">
        <v>1200</v>
      </c>
    </row>
    <row r="53" spans="2:3" s="23" customFormat="1" ht="24" x14ac:dyDescent="0.3">
      <c r="B53" s="7" t="s">
        <v>226</v>
      </c>
      <c r="C53" s="27">
        <v>2500</v>
      </c>
    </row>
    <row r="54" spans="2:3" s="23" customFormat="1" x14ac:dyDescent="0.2"/>
    <row r="55" spans="2:3" s="23" customFormat="1" x14ac:dyDescent="0.2"/>
    <row r="56" spans="2:3" s="23" customFormat="1" x14ac:dyDescent="0.2"/>
    <row r="57" spans="2:3" s="23" customFormat="1" x14ac:dyDescent="0.2"/>
    <row r="58" spans="2:3" s="23" customFormat="1" x14ac:dyDescent="0.2"/>
    <row r="59" spans="2:3" s="23" customFormat="1" x14ac:dyDescent="0.2"/>
    <row r="60" spans="2:3" s="23" customFormat="1" x14ac:dyDescent="0.2"/>
    <row r="61" spans="2:3" s="23" customFormat="1" x14ac:dyDescent="0.2"/>
    <row r="62" spans="2:3" s="23" customFormat="1" x14ac:dyDescent="0.2"/>
    <row r="63" spans="2:3" s="23" customFormat="1" x14ac:dyDescent="0.2"/>
    <row r="64" spans="2:3" s="23" customFormat="1" x14ac:dyDescent="0.2"/>
    <row r="65" s="23" customFormat="1" x14ac:dyDescent="0.2"/>
    <row r="66" s="23" customFormat="1" x14ac:dyDescent="0.2"/>
    <row r="67" s="23" customFormat="1" x14ac:dyDescent="0.2"/>
    <row r="68" s="23" customFormat="1" x14ac:dyDescent="0.2"/>
    <row r="69" s="23" customFormat="1" x14ac:dyDescent="0.2"/>
    <row r="70" s="23" customFormat="1" x14ac:dyDescent="0.2"/>
    <row r="71" s="23" customFormat="1" x14ac:dyDescent="0.2"/>
    <row r="72" s="23" customFormat="1" x14ac:dyDescent="0.2"/>
    <row r="73" s="23" customFormat="1" x14ac:dyDescent="0.2"/>
    <row r="74" s="23" customFormat="1" x14ac:dyDescent="0.2"/>
    <row r="75" s="23" customFormat="1" x14ac:dyDescent="0.2"/>
    <row r="76" s="23" customFormat="1" x14ac:dyDescent="0.2"/>
    <row r="77" s="23" customFormat="1" x14ac:dyDescent="0.2"/>
    <row r="78" s="23" customFormat="1" x14ac:dyDescent="0.2"/>
    <row r="79" s="23" customFormat="1" x14ac:dyDescent="0.2"/>
    <row r="80" s="23" customFormat="1" x14ac:dyDescent="0.2"/>
    <row r="81" s="23" customFormat="1" x14ac:dyDescent="0.2"/>
    <row r="82" s="23" customFormat="1" x14ac:dyDescent="0.2"/>
    <row r="83" s="23" customFormat="1" x14ac:dyDescent="0.2"/>
    <row r="84" s="23" customFormat="1" x14ac:dyDescent="0.2"/>
    <row r="85" s="23" customFormat="1" x14ac:dyDescent="0.2"/>
    <row r="86" s="23" customFormat="1" x14ac:dyDescent="0.2"/>
    <row r="87" s="23" customFormat="1" x14ac:dyDescent="0.2"/>
    <row r="88" s="23" customFormat="1" x14ac:dyDescent="0.2"/>
    <row r="89" s="23" customFormat="1" x14ac:dyDescent="0.2"/>
    <row r="90" s="23" customFormat="1" x14ac:dyDescent="0.2"/>
    <row r="91" s="23" customFormat="1" x14ac:dyDescent="0.2"/>
    <row r="92" s="23" customFormat="1" x14ac:dyDescent="0.2"/>
    <row r="93" s="23" customFormat="1" x14ac:dyDescent="0.2"/>
    <row r="94" s="23" customFormat="1" x14ac:dyDescent="0.2"/>
    <row r="95" s="23" customFormat="1" x14ac:dyDescent="0.2"/>
    <row r="96" s="23" customFormat="1" x14ac:dyDescent="0.2"/>
    <row r="97" s="23" customFormat="1" x14ac:dyDescent="0.2"/>
    <row r="98" s="23" customFormat="1" x14ac:dyDescent="0.2"/>
    <row r="99" s="23" customFormat="1" x14ac:dyDescent="0.2"/>
    <row r="100" s="23" customFormat="1" x14ac:dyDescent="0.2"/>
    <row r="101" s="23" customFormat="1" x14ac:dyDescent="0.2"/>
    <row r="102" s="23" customFormat="1" x14ac:dyDescent="0.2"/>
    <row r="103" s="23" customFormat="1" x14ac:dyDescent="0.2"/>
    <row r="104" s="23" customFormat="1" x14ac:dyDescent="0.2"/>
    <row r="105" s="23" customFormat="1" x14ac:dyDescent="0.2"/>
    <row r="106" s="23" customFormat="1" x14ac:dyDescent="0.2"/>
    <row r="107" s="23" customFormat="1" x14ac:dyDescent="0.2"/>
    <row r="108" s="23" customFormat="1" x14ac:dyDescent="0.2"/>
    <row r="109" s="23" customFormat="1" x14ac:dyDescent="0.2"/>
    <row r="110" s="23" customFormat="1" x14ac:dyDescent="0.2"/>
    <row r="111" s="23" customFormat="1" x14ac:dyDescent="0.2"/>
    <row r="112" s="23" customFormat="1" x14ac:dyDescent="0.2"/>
    <row r="113" s="23" customFormat="1" x14ac:dyDescent="0.2"/>
    <row r="114" s="23" customFormat="1" x14ac:dyDescent="0.2"/>
    <row r="115" s="23" customFormat="1" x14ac:dyDescent="0.2"/>
    <row r="116" s="23" customFormat="1" x14ac:dyDescent="0.2"/>
    <row r="117" s="23" customFormat="1" x14ac:dyDescent="0.2"/>
    <row r="118" s="23" customFormat="1" x14ac:dyDescent="0.2"/>
    <row r="119" s="23" customFormat="1" x14ac:dyDescent="0.2"/>
    <row r="120" s="23" customFormat="1" x14ac:dyDescent="0.2"/>
    <row r="121" s="23" customFormat="1" x14ac:dyDescent="0.2"/>
    <row r="122" s="23" customFormat="1" x14ac:dyDescent="0.2"/>
    <row r="123" s="23" customFormat="1" x14ac:dyDescent="0.2"/>
    <row r="124" s="23" customFormat="1" x14ac:dyDescent="0.2"/>
    <row r="125" s="23" customFormat="1" x14ac:dyDescent="0.2"/>
    <row r="126" s="23" customFormat="1" x14ac:dyDescent="0.2"/>
    <row r="127" s="23" customFormat="1" x14ac:dyDescent="0.2"/>
    <row r="128" s="23" customFormat="1" x14ac:dyDescent="0.2"/>
    <row r="129" s="23" customFormat="1" x14ac:dyDescent="0.2"/>
    <row r="130" s="23" customFormat="1" x14ac:dyDescent="0.2"/>
    <row r="131" s="23" customFormat="1" x14ac:dyDescent="0.2"/>
    <row r="132" s="23" customFormat="1" x14ac:dyDescent="0.2"/>
    <row r="133" s="23" customFormat="1" x14ac:dyDescent="0.2"/>
    <row r="134" s="23" customFormat="1" x14ac:dyDescent="0.2"/>
    <row r="135" s="23" customFormat="1" x14ac:dyDescent="0.2"/>
    <row r="136" s="23" customFormat="1" x14ac:dyDescent="0.2"/>
    <row r="137" s="23" customFormat="1" x14ac:dyDescent="0.2"/>
    <row r="138" s="23" customFormat="1" x14ac:dyDescent="0.2"/>
    <row r="139" s="23" customFormat="1" x14ac:dyDescent="0.2"/>
    <row r="140" s="23" customFormat="1" x14ac:dyDescent="0.2"/>
    <row r="141" s="23" customFormat="1" x14ac:dyDescent="0.2"/>
    <row r="142" s="23" customFormat="1" x14ac:dyDescent="0.2"/>
    <row r="143" s="23" customFormat="1" x14ac:dyDescent="0.2"/>
    <row r="144" s="23" customFormat="1" x14ac:dyDescent="0.2"/>
    <row r="145" s="23" customFormat="1" x14ac:dyDescent="0.2"/>
    <row r="146" s="23" customFormat="1" x14ac:dyDescent="0.2"/>
    <row r="147" s="23" customFormat="1" x14ac:dyDescent="0.2"/>
    <row r="148" s="23" customFormat="1" x14ac:dyDescent="0.2"/>
    <row r="149" s="23" customFormat="1" x14ac:dyDescent="0.2"/>
    <row r="150" s="23" customFormat="1" x14ac:dyDescent="0.2"/>
    <row r="151" s="23" customFormat="1" x14ac:dyDescent="0.2"/>
    <row r="152" s="23" customFormat="1" x14ac:dyDescent="0.2"/>
    <row r="153" s="23" customFormat="1" x14ac:dyDescent="0.2"/>
    <row r="154" s="23" customFormat="1" x14ac:dyDescent="0.2"/>
    <row r="155" s="23" customFormat="1" x14ac:dyDescent="0.2"/>
    <row r="156" s="23" customFormat="1" x14ac:dyDescent="0.2"/>
    <row r="157" s="23" customFormat="1" x14ac:dyDescent="0.2"/>
    <row r="158" s="23" customFormat="1" x14ac:dyDescent="0.2"/>
    <row r="159" s="23" customFormat="1" x14ac:dyDescent="0.2"/>
    <row r="160" s="23" customFormat="1" x14ac:dyDescent="0.2"/>
    <row r="161" s="23" customFormat="1" x14ac:dyDescent="0.2"/>
    <row r="162" s="23" customFormat="1" x14ac:dyDescent="0.2"/>
    <row r="163" s="23" customFormat="1" x14ac:dyDescent="0.2"/>
    <row r="164" s="23" customFormat="1" x14ac:dyDescent="0.2"/>
    <row r="165" s="23" customFormat="1" x14ac:dyDescent="0.2"/>
    <row r="166" s="23" customFormat="1" x14ac:dyDescent="0.2"/>
    <row r="167" s="23" customFormat="1" x14ac:dyDescent="0.2"/>
    <row r="168" s="23" customFormat="1" x14ac:dyDescent="0.2"/>
    <row r="169" s="23" customFormat="1" x14ac:dyDescent="0.2"/>
    <row r="170" s="23" customFormat="1" x14ac:dyDescent="0.2"/>
    <row r="171" s="23" customFormat="1" x14ac:dyDescent="0.2"/>
    <row r="172" s="23" customFormat="1" x14ac:dyDescent="0.2"/>
    <row r="173" s="23" customFormat="1" x14ac:dyDescent="0.2"/>
    <row r="174" s="23" customFormat="1" x14ac:dyDescent="0.2"/>
    <row r="175" s="23" customFormat="1" x14ac:dyDescent="0.2"/>
    <row r="176" s="23" customFormat="1" x14ac:dyDescent="0.2"/>
    <row r="177" spans="5:8" s="23" customFormat="1" x14ac:dyDescent="0.2"/>
    <row r="178" spans="5:8" s="23" customFormat="1" x14ac:dyDescent="0.2"/>
    <row r="179" spans="5:8" s="23" customFormat="1" x14ac:dyDescent="0.2"/>
    <row r="180" spans="5:8" s="23" customFormat="1" x14ac:dyDescent="0.2"/>
    <row r="181" spans="5:8" s="23" customFormat="1" x14ac:dyDescent="0.2"/>
    <row r="182" spans="5:8" x14ac:dyDescent="0.2">
      <c r="E182" s="23"/>
      <c r="F182" s="23"/>
      <c r="G182" s="23"/>
      <c r="H182" s="23"/>
    </row>
  </sheetData>
  <sheetProtection algorithmName="SHA-512" hashValue="W4Pxlw2izlGYmnwrvL19SXMVDFwZTRgt/QHm3giKlFJH7znHdKoQrMc64EhZYdQ2OeSiH9ZWtiBfLDnlbchTqA==" saltValue="VSktXOAsIo0n5l4ls0HMHQ==" spinCount="100000" sheet="1" objects="1" scenarios="1" selectLockedCells="1" selectUnlockedCells="1"/>
  <mergeCells count="15">
    <mergeCell ref="A1:H4"/>
    <mergeCell ref="B50:C50"/>
    <mergeCell ref="F45:G45"/>
    <mergeCell ref="F46:G46"/>
    <mergeCell ref="E43:H43"/>
    <mergeCell ref="E6:H7"/>
    <mergeCell ref="E9:H10"/>
    <mergeCell ref="B43:C43"/>
    <mergeCell ref="B25:H25"/>
    <mergeCell ref="B27:B41"/>
    <mergeCell ref="B6:C6"/>
    <mergeCell ref="B15:B23"/>
    <mergeCell ref="B13:H13"/>
    <mergeCell ref="E8:G8"/>
    <mergeCell ref="F44:G4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D61DA-BAC9-214B-9D40-044946E4D8F7}">
  <sheetPr codeName="Sheet3"/>
  <dimension ref="A1:BW1088"/>
  <sheetViews>
    <sheetView workbookViewId="0">
      <selection activeCell="D13" sqref="D13"/>
    </sheetView>
  </sheetViews>
  <sheetFormatPr baseColWidth="10" defaultColWidth="11" defaultRowHeight="16" x14ac:dyDescent="0.2"/>
  <cols>
    <col min="1" max="1" width="10.83203125" style="19"/>
    <col min="2" max="2" width="58.83203125" customWidth="1"/>
    <col min="3" max="3" width="10.83203125" style="43" customWidth="1"/>
    <col min="4" max="4" width="31.5" customWidth="1"/>
    <col min="5" max="75" width="10.83203125" style="19"/>
  </cols>
  <sheetData>
    <row r="1" spans="1:15" s="19" customFormat="1" ht="16" customHeight="1" x14ac:dyDescent="0.2">
      <c r="A1" s="106" t="s">
        <v>229</v>
      </c>
      <c r="B1" s="107"/>
      <c r="C1" s="107"/>
      <c r="D1" s="108"/>
      <c r="F1" s="23"/>
      <c r="G1" s="23"/>
      <c r="H1" s="23"/>
      <c r="I1" s="23"/>
      <c r="J1" s="23"/>
      <c r="K1" s="23"/>
      <c r="L1" s="23"/>
      <c r="M1" s="23"/>
      <c r="N1" s="23"/>
      <c r="O1" s="23"/>
    </row>
    <row r="2" spans="1:15" s="19" customFormat="1" ht="16" customHeight="1" x14ac:dyDescent="0.2">
      <c r="A2" s="109"/>
      <c r="B2" s="110"/>
      <c r="C2" s="110"/>
      <c r="D2" s="111"/>
      <c r="F2" s="23"/>
      <c r="G2" s="23"/>
      <c r="H2" s="23"/>
      <c r="I2" s="23"/>
      <c r="J2" s="23"/>
      <c r="K2" s="23"/>
      <c r="L2" s="23"/>
      <c r="M2" s="23"/>
      <c r="N2" s="23"/>
      <c r="O2" s="23"/>
    </row>
    <row r="3" spans="1:15" s="19" customFormat="1" ht="16" customHeight="1" x14ac:dyDescent="0.2">
      <c r="A3" s="109"/>
      <c r="B3" s="110"/>
      <c r="C3" s="110"/>
      <c r="D3" s="111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15" s="19" customFormat="1" ht="16" customHeight="1" x14ac:dyDescent="0.2">
      <c r="A4" s="112"/>
      <c r="B4" s="113"/>
      <c r="C4" s="113"/>
      <c r="D4" s="114"/>
      <c r="F4" s="23"/>
      <c r="G4" s="23"/>
      <c r="H4" s="23"/>
      <c r="I4" s="23"/>
      <c r="J4" s="23"/>
      <c r="K4" s="23"/>
      <c r="L4" s="23"/>
      <c r="M4" s="23"/>
      <c r="N4" s="23"/>
      <c r="O4" s="23"/>
    </row>
    <row r="5" spans="1:15" s="19" customFormat="1" x14ac:dyDescent="0.2">
      <c r="C5" s="43"/>
    </row>
    <row r="6" spans="1:15" s="19" customFormat="1" ht="26" x14ac:dyDescent="0.3">
      <c r="B6" s="118" t="s">
        <v>195</v>
      </c>
      <c r="C6" s="118"/>
      <c r="D6" s="118"/>
    </row>
    <row r="7" spans="1:15" ht="24" x14ac:dyDescent="0.3">
      <c r="B7" s="18" t="s">
        <v>61</v>
      </c>
      <c r="C7" s="18" t="s">
        <v>171</v>
      </c>
      <c r="D7" s="18" t="s">
        <v>70</v>
      </c>
    </row>
    <row r="8" spans="1:15" s="19" customFormat="1" ht="20" x14ac:dyDescent="0.25">
      <c r="B8" s="7" t="s">
        <v>117</v>
      </c>
      <c r="C8" s="45">
        <v>2</v>
      </c>
      <c r="D8" s="12">
        <f>D20</f>
        <v>0</v>
      </c>
    </row>
    <row r="9" spans="1:15" s="19" customFormat="1" ht="20" x14ac:dyDescent="0.25">
      <c r="B9" s="7" t="s">
        <v>164</v>
      </c>
      <c r="C9" s="45">
        <v>2</v>
      </c>
      <c r="D9" s="12">
        <f>D27</f>
        <v>0</v>
      </c>
    </row>
    <row r="10" spans="1:15" s="19" customFormat="1" ht="20" x14ac:dyDescent="0.25">
      <c r="B10" s="7" t="s">
        <v>156</v>
      </c>
      <c r="C10" s="45">
        <v>1</v>
      </c>
      <c r="D10" s="12">
        <f>D34+D47+D60+D70</f>
        <v>0</v>
      </c>
    </row>
    <row r="11" spans="1:15" s="19" customFormat="1" ht="20" x14ac:dyDescent="0.25">
      <c r="B11" s="7" t="s">
        <v>196</v>
      </c>
      <c r="C11" s="45">
        <v>2</v>
      </c>
      <c r="D11" s="12">
        <f>D78+D88+D95+D105+D116</f>
        <v>0</v>
      </c>
    </row>
    <row r="12" spans="1:15" s="19" customFormat="1" ht="24" x14ac:dyDescent="0.3">
      <c r="B12" s="119" t="s">
        <v>70</v>
      </c>
      <c r="C12" s="120"/>
      <c r="D12" s="33">
        <f>IF('01 - INPUT'!D12="None",0,(IF(D19=0,0,IF('01 - INPUT'!D36="Yes",D118*50%,(IF('01 - INPUT'!D12='00 - FORM DATA'!C8,D118*70%,IF('01 - INPUT'!D12='00 - FORM DATA'!C9,D118*80%,D118)))))))</f>
        <v>0</v>
      </c>
    </row>
    <row r="13" spans="1:15" s="19" customFormat="1" x14ac:dyDescent="0.2">
      <c r="C13" s="43"/>
    </row>
    <row r="14" spans="1:15" ht="26" x14ac:dyDescent="0.3">
      <c r="B14" s="99" t="s">
        <v>158</v>
      </c>
      <c r="C14" s="99"/>
      <c r="D14" s="99"/>
    </row>
    <row r="15" spans="1:15" ht="26" x14ac:dyDescent="0.3">
      <c r="B15" s="116" t="s">
        <v>117</v>
      </c>
      <c r="C15" s="116"/>
      <c r="D15" s="116"/>
    </row>
    <row r="16" spans="1:15" ht="24" x14ac:dyDescent="0.3">
      <c r="B16" s="18" t="s">
        <v>61</v>
      </c>
      <c r="C16" s="18" t="s">
        <v>171</v>
      </c>
      <c r="D16" s="18" t="s">
        <v>70</v>
      </c>
    </row>
    <row r="17" spans="2:4" ht="20" customHeight="1" x14ac:dyDescent="0.25">
      <c r="B17" s="7" t="s">
        <v>0</v>
      </c>
      <c r="C17" s="45">
        <v>1</v>
      </c>
      <c r="D17" s="7">
        <f>IF('01 - INPUT'!D12='00 - FORM DATA'!C8,1,IF('01 - INPUT'!D12='00 - FORM DATA'!C9,2,IF('01 - INPUT'!D12='00 - FORM DATA'!C7,0,3)))</f>
        <v>0</v>
      </c>
    </row>
    <row r="18" spans="2:4" ht="20" x14ac:dyDescent="0.25">
      <c r="B18" s="7" t="s">
        <v>39</v>
      </c>
      <c r="C18" s="45">
        <v>1</v>
      </c>
      <c r="D18" s="7">
        <f>IF('01 - INPUT'!D13='00 - FORM DATA'!E8,1,IF('01 - INPUT'!D13='00 - FORM DATA'!E9,2,IF('01 - INPUT'!D13='00 - FORM DATA'!E10,3,IF('01 - INPUT'!D13='00 - FORM DATA'!E11,4,IF('01 - INPUT'!D13='00 - FORM DATA'!E7,0,5)))))</f>
        <v>0</v>
      </c>
    </row>
    <row r="19" spans="2:4" ht="20" x14ac:dyDescent="0.25">
      <c r="B19" s="7" t="s">
        <v>48</v>
      </c>
      <c r="C19" s="45">
        <v>1</v>
      </c>
      <c r="D19" s="7">
        <f>IF('01 - INPUT'!D31='00 - FORM DATA'!M8,1,IF('01 - INPUT'!D31='00 - FORM DATA'!M9,3,IF('01 - INPUT'!D31='00 - FORM DATA'!M10,6,IF('01 - INPUT'!D31='00 - FORM DATA'!M11,9,IF('01 - INPUT'!D31='00 - FORM DATA'!M12,12,IF('01 - INPUT'!D31='00 - FORM DATA'!M13,15,IF('01 - INPUT'!D31='00 - FORM DATA'!M7,0,20)))))))</f>
        <v>0</v>
      </c>
    </row>
    <row r="20" spans="2:4" ht="24" x14ac:dyDescent="0.3">
      <c r="B20" s="121" t="s">
        <v>70</v>
      </c>
      <c r="C20" s="122"/>
      <c r="D20" s="14">
        <f>((D17*C17)+(D18*C18)+(D19*C19))/3</f>
        <v>0</v>
      </c>
    </row>
    <row r="22" spans="2:4" ht="26" x14ac:dyDescent="0.3">
      <c r="B22" s="117" t="s">
        <v>90</v>
      </c>
      <c r="C22" s="117"/>
      <c r="D22" s="117"/>
    </row>
    <row r="23" spans="2:4" ht="24" x14ac:dyDescent="0.3">
      <c r="B23" s="18" t="s">
        <v>61</v>
      </c>
      <c r="C23" s="18" t="s">
        <v>171</v>
      </c>
      <c r="D23" s="18" t="s">
        <v>62</v>
      </c>
    </row>
    <row r="24" spans="2:4" ht="20" x14ac:dyDescent="0.25">
      <c r="B24" s="7" t="str">
        <f>'01 - INPUT'!C38</f>
        <v>VERSION TO INSTALL</v>
      </c>
      <c r="C24" s="45">
        <v>1</v>
      </c>
      <c r="D24" s="7">
        <f>IF('01 - INPUT'!D38='00 - FORM DATA'!O8,4,IF('01 - INPUT'!D38='00 - FORM DATA'!O9,3,IF('01 - INPUT'!D38='00 - FORM DATA'!O10,2,IF('01 - INPUT'!D38='00 - FORM DATA'!O11,2,IF('01 - INPUT'!D38='00 - FORM DATA'!O12,1,IF('01 - INPUT'!D38='00 - FORM DATA'!O7,0,5))))))</f>
        <v>0</v>
      </c>
    </row>
    <row r="25" spans="2:4" ht="20" x14ac:dyDescent="0.25">
      <c r="B25" s="7" t="str">
        <f>'01 - INPUT'!C39</f>
        <v>DATACENTERS</v>
      </c>
      <c r="C25" s="45">
        <v>3</v>
      </c>
      <c r="D25" s="7">
        <f>'01 - INPUT'!D39</f>
        <v>0</v>
      </c>
    </row>
    <row r="26" spans="2:4" ht="20" x14ac:dyDescent="0.25">
      <c r="B26" s="7" t="str">
        <f>'01 - INPUT'!C40</f>
        <v>HA MODEL</v>
      </c>
      <c r="C26" s="45">
        <v>1</v>
      </c>
      <c r="D26" s="7">
        <f>IF('01 - INPUT'!D40='00 - FORM DATA'!U7,0,IF('01 - INPUT'!D40='00 - FORM DATA'!U8,2,3))</f>
        <v>0</v>
      </c>
    </row>
    <row r="27" spans="2:4" ht="24" x14ac:dyDescent="0.3">
      <c r="B27" s="121" t="s">
        <v>70</v>
      </c>
      <c r="C27" s="122"/>
      <c r="D27" s="14">
        <f>((D24*C24)+(D25*C25)+(D26*C26))/3</f>
        <v>0</v>
      </c>
    </row>
    <row r="29" spans="2:4" ht="26" x14ac:dyDescent="0.3">
      <c r="B29" s="98" t="s">
        <v>136</v>
      </c>
      <c r="C29" s="98"/>
      <c r="D29" s="98"/>
    </row>
    <row r="30" spans="2:4" ht="24" x14ac:dyDescent="0.3">
      <c r="B30" s="18" t="s">
        <v>61</v>
      </c>
      <c r="C30" s="18" t="s">
        <v>171</v>
      </c>
      <c r="D30" s="18" t="s">
        <v>62</v>
      </c>
    </row>
    <row r="31" spans="2:4" ht="20" x14ac:dyDescent="0.25">
      <c r="B31" s="7" t="str">
        <f>'01 - INPUT'!C44</f>
        <v>NSG-C VOLUME</v>
      </c>
      <c r="C31" s="45">
        <v>1</v>
      </c>
      <c r="D31" s="7">
        <f>IF('01 - INPUT'!D44='00 - FORM DATA'!S7,0,IF('01 - INPUT'!D44='00 - FORM DATA'!S8,1,IF('01 - INPUT'!D44='00 - FORM DATA'!S9,2,IF('01 - INPUT'!D44='00 - FORM DATA'!S10,3,IF('01 - INPUT'!D44='00 - FORM DATA'!S11,4,IF('01 - INPUT'!D44='00 - FORM DATA'!S12,5,IF('01 - INPUT'!D44='00 - FORM DATA'!S13,6,IF('01 - INPUT'!D44='00 - FORM DATA'!S14,7,IF('01 - INPUT'!D44='00 - FORM DATA'!S15,8,IF('01 - INPUT'!D44='00 - FORM DATA'!S16,9,IF('01 - INPUT'!D44='00 - FORM DATA'!S17,10,11)))))))))))</f>
        <v>0</v>
      </c>
    </row>
    <row r="32" spans="2:4" ht="20" x14ac:dyDescent="0.25">
      <c r="B32" s="7" t="str">
        <f>'01 - INPUT'!C45</f>
        <v>NSG-E VOLUME</v>
      </c>
      <c r="C32" s="45">
        <v>1</v>
      </c>
      <c r="D32" s="7">
        <f>IF('01 - INPUT'!D45='00 - FORM DATA'!S7,0,IF('01 - INPUT'!D45='00 - FORM DATA'!S8,1,IF('01 - INPUT'!D45='00 - FORM DATA'!S9,2,IF('01 - INPUT'!D45='00 - FORM DATA'!S10,3,IF('01 - INPUT'!D45='00 - FORM DATA'!S11,4,IF('01 - INPUT'!D45='00 - FORM DATA'!S12,5,IF('01 - INPUT'!D45='00 - FORM DATA'!S13,6,IF('01 - INPUT'!D45='00 - FORM DATA'!S14,7,IF('01 - INPUT'!D45='00 - FORM DATA'!S15,8,IF('01 - INPUT'!D45='00 - FORM DATA'!S16,9,IF('01 - INPUT'!D45='00 - FORM DATA'!S17,10,11)))))))))))</f>
        <v>0</v>
      </c>
    </row>
    <row r="33" spans="2:4" ht="20" x14ac:dyDescent="0.25">
      <c r="B33" s="7" t="str">
        <f>'01 - INPUT'!C46</f>
        <v>NSG-X VOLUME</v>
      </c>
      <c r="C33" s="45">
        <v>3</v>
      </c>
      <c r="D33" s="7">
        <f>IF('01 - INPUT'!D46='00 - FORM DATA'!S7,0,IF('01 - INPUT'!D46='00 - FORM DATA'!S8,1,IF('01 - INPUT'!D46='00 - FORM DATA'!S9,2,IF('01 - INPUT'!D46='00 - FORM DATA'!S10,3,IF('01 - INPUT'!D46='00 - FORM DATA'!S11,4,IF('01 - INPUT'!D46='00 - FORM DATA'!S12,5,IF('01 - INPUT'!D46='00 - FORM DATA'!S13,6,IF('01 - INPUT'!D46='00 - FORM DATA'!S14,7,IF('01 - INPUT'!D46='00 - FORM DATA'!S15,8,IF('01 - INPUT'!D46='00 - FORM DATA'!S16,9,IF('01 - INPUT'!D46='00 - FORM DATA'!S17,10,11)))))))))))</f>
        <v>0</v>
      </c>
    </row>
    <row r="34" spans="2:4" ht="24" x14ac:dyDescent="0.3">
      <c r="B34" s="121" t="s">
        <v>70</v>
      </c>
      <c r="C34" s="122"/>
      <c r="D34" s="14">
        <f>((D31*C31)+(D32*C32)+(D33*C33))/3</f>
        <v>0</v>
      </c>
    </row>
    <row r="36" spans="2:4" ht="26" x14ac:dyDescent="0.3">
      <c r="B36" s="98" t="s">
        <v>138</v>
      </c>
      <c r="C36" s="98"/>
      <c r="D36" s="98"/>
    </row>
    <row r="37" spans="2:4" ht="24" x14ac:dyDescent="0.3">
      <c r="B37" s="18" t="s">
        <v>61</v>
      </c>
      <c r="C37" s="18" t="s">
        <v>171</v>
      </c>
      <c r="D37" s="18" t="s">
        <v>62</v>
      </c>
    </row>
    <row r="38" spans="2:4" ht="20" x14ac:dyDescent="0.25">
      <c r="B38" s="7" t="str">
        <f>'01 - INPUT'!C48</f>
        <v>DUAL UPLINK</v>
      </c>
      <c r="C38" s="45">
        <v>2</v>
      </c>
      <c r="D38" s="7">
        <f>IF('01 - INPUT'!D48="Yes",1,0)</f>
        <v>0</v>
      </c>
    </row>
    <row r="39" spans="2:4" ht="20" x14ac:dyDescent="0.25">
      <c r="B39" s="7" t="str">
        <f>'01 - INPUT'!C49</f>
        <v>INERNET BREAKOUT</v>
      </c>
      <c r="C39" s="45">
        <v>1</v>
      </c>
      <c r="D39" s="7">
        <f>IF('01 - INPUT'!D49="Yes",1,0)</f>
        <v>0</v>
      </c>
    </row>
    <row r="40" spans="2:4" ht="20" x14ac:dyDescent="0.25">
      <c r="B40" s="7" t="str">
        <f>'01 - INPUT'!C50</f>
        <v>PAT / NAT</v>
      </c>
      <c r="C40" s="45">
        <v>1</v>
      </c>
      <c r="D40" s="7">
        <f>IF('01 - INPUT'!D50="Yes",1,0)</f>
        <v>0</v>
      </c>
    </row>
    <row r="41" spans="2:4" ht="20" x14ac:dyDescent="0.25">
      <c r="B41" s="7" t="str">
        <f>'01 - INPUT'!C51</f>
        <v>IPSEC</v>
      </c>
      <c r="C41" s="45">
        <v>1</v>
      </c>
      <c r="D41" s="7">
        <f>IF('01 - INPUT'!D51="Yes",1,0)</f>
        <v>0</v>
      </c>
    </row>
    <row r="42" spans="2:4" ht="20" x14ac:dyDescent="0.25">
      <c r="B42" s="7" t="str">
        <f>'01 - INPUT'!C52</f>
        <v>DHCP</v>
      </c>
      <c r="C42" s="45">
        <v>1</v>
      </c>
      <c r="D42" s="7">
        <f>IF('01 - INPUT'!D52="Yes",1,0)</f>
        <v>0</v>
      </c>
    </row>
    <row r="43" spans="2:4" ht="20" x14ac:dyDescent="0.25">
      <c r="B43" s="7" t="str">
        <f>'01 - INPUT'!C53</f>
        <v>L3 &amp; L4 FIREWALL</v>
      </c>
      <c r="C43" s="45">
        <v>2</v>
      </c>
      <c r="D43" s="7">
        <f>IF('01 - INPUT'!D53="Yes",1,0)</f>
        <v>0</v>
      </c>
    </row>
    <row r="44" spans="2:4" ht="20" x14ac:dyDescent="0.25">
      <c r="B44" s="7" t="str">
        <f>'01 - INPUT'!C54</f>
        <v>PORT STATISTICS</v>
      </c>
      <c r="C44" s="45">
        <v>2</v>
      </c>
      <c r="D44" s="7">
        <f>IF('01 - INPUT'!D54="Yes",1,0)</f>
        <v>0</v>
      </c>
    </row>
    <row r="45" spans="2:4" ht="20" x14ac:dyDescent="0.25">
      <c r="B45" s="7" t="str">
        <f>'01 - INPUT'!C55</f>
        <v>NOTIFICATION APP</v>
      </c>
      <c r="C45" s="45">
        <v>2</v>
      </c>
      <c r="D45" s="7">
        <f>IF('01 - INPUT'!D55="Yes",1,0)</f>
        <v>0</v>
      </c>
    </row>
    <row r="46" spans="2:4" ht="20" x14ac:dyDescent="0.25">
      <c r="B46" s="7" t="str">
        <f>'01 - INPUT'!C56</f>
        <v>VNS PORTAL</v>
      </c>
      <c r="C46" s="45">
        <v>2</v>
      </c>
      <c r="D46" s="7">
        <f>IF('01 - INPUT'!D56="Yes",1,0)</f>
        <v>0</v>
      </c>
    </row>
    <row r="47" spans="2:4" ht="24" x14ac:dyDescent="0.3">
      <c r="B47" s="121" t="s">
        <v>70</v>
      </c>
      <c r="C47" s="122"/>
      <c r="D47" s="14">
        <f>((D38*C38)+(D39*C39)+(D40*C40)+(D41*C41)+(D42*C42)+(D43*C43)+(D44*C44)+(D45*C45)*(D46*C46))/9</f>
        <v>0</v>
      </c>
    </row>
    <row r="49" spans="2:4" ht="26" x14ac:dyDescent="0.3">
      <c r="B49" s="98" t="s">
        <v>139</v>
      </c>
      <c r="C49" s="98"/>
      <c r="D49" s="98"/>
    </row>
    <row r="50" spans="2:4" ht="24" x14ac:dyDescent="0.3">
      <c r="B50" s="18" t="s">
        <v>61</v>
      </c>
      <c r="C50" s="18" t="s">
        <v>171</v>
      </c>
      <c r="D50" s="18" t="s">
        <v>62</v>
      </c>
    </row>
    <row r="51" spans="2:4" ht="20" x14ac:dyDescent="0.25">
      <c r="B51" s="7" t="str">
        <f>'01 - INPUT'!C58</f>
        <v>BGP &amp; OSPF</v>
      </c>
      <c r="C51" s="45">
        <v>4</v>
      </c>
      <c r="D51" s="7">
        <f>IF('01 - INPUT'!D58="Yes",1,0)</f>
        <v>0</v>
      </c>
    </row>
    <row r="52" spans="2:4" ht="20" x14ac:dyDescent="0.25">
      <c r="B52" s="7" t="str">
        <f>'01 - INPUT'!C59</f>
        <v>REDUNDANT CPEs</v>
      </c>
      <c r="C52" s="45">
        <v>2</v>
      </c>
      <c r="D52" s="7">
        <f>IF('01 - INPUT'!D59="Yes",1,0)</f>
        <v>0</v>
      </c>
    </row>
    <row r="53" spans="2:4" ht="20" x14ac:dyDescent="0.25">
      <c r="B53" s="7" t="str">
        <f>'01 - INPUT'!C60</f>
        <v>MANAGED WIFI</v>
      </c>
      <c r="C53" s="45">
        <v>3</v>
      </c>
      <c r="D53" s="7">
        <f>IF('01 - INPUT'!D60="Yes",1,0)</f>
        <v>0</v>
      </c>
    </row>
    <row r="54" spans="2:4" ht="20" x14ac:dyDescent="0.25">
      <c r="B54" s="7" t="str">
        <f>'01 - INPUT'!C61</f>
        <v>MANAGED LTE</v>
      </c>
      <c r="C54" s="45">
        <v>3</v>
      </c>
      <c r="D54" s="7">
        <f>IF('01 - INPUT'!D61="Yes",1,0)</f>
        <v>0</v>
      </c>
    </row>
    <row r="55" spans="2:4" ht="20" x14ac:dyDescent="0.25">
      <c r="B55" s="7" t="str">
        <f>'01 - INPUT'!C62</f>
        <v>QOS</v>
      </c>
      <c r="C55" s="45">
        <v>4</v>
      </c>
      <c r="D55" s="7">
        <f>IF('01 - INPUT'!D62="Yes",1,0)</f>
        <v>0</v>
      </c>
    </row>
    <row r="56" spans="2:4" ht="20" x14ac:dyDescent="0.25">
      <c r="B56" s="7" t="str">
        <f>'01 - INPUT'!C63</f>
        <v>L7 ACLs</v>
      </c>
      <c r="C56" s="45">
        <v>4</v>
      </c>
      <c r="D56" s="7">
        <f>IF('01 - INPUT'!D63="Yes",1,0)</f>
        <v>0</v>
      </c>
    </row>
    <row r="57" spans="2:4" ht="20" x14ac:dyDescent="0.25">
      <c r="B57" s="7" t="str">
        <f>'01 - INPUT'!C64</f>
        <v>NETWORK PERFORMANCE VISIBILITY</v>
      </c>
      <c r="C57" s="45">
        <v>3</v>
      </c>
      <c r="D57" s="7">
        <f>IF('01 - INPUT'!D64="Yes",1,0)</f>
        <v>0</v>
      </c>
    </row>
    <row r="58" spans="2:4" ht="20" x14ac:dyDescent="0.25">
      <c r="B58" s="7" t="str">
        <f>'01 - INPUT'!C65</f>
        <v>APPLICATION VISIBILITY &amp; ROUTING</v>
      </c>
      <c r="C58" s="45">
        <v>4</v>
      </c>
      <c r="D58" s="7">
        <f>IF('01 - INPUT'!D65="Yes",1,0)</f>
        <v>0</v>
      </c>
    </row>
    <row r="59" spans="2:4" ht="20" x14ac:dyDescent="0.25">
      <c r="B59" s="7" t="str">
        <f>'01 - INPUT'!C66</f>
        <v>SERVICE CHAINING</v>
      </c>
      <c r="C59" s="45">
        <v>3</v>
      </c>
      <c r="D59" s="7">
        <f>IF('01 - INPUT'!D66="Yes",1,0)</f>
        <v>0</v>
      </c>
    </row>
    <row r="60" spans="2:4" ht="24" x14ac:dyDescent="0.3">
      <c r="B60" s="121" t="s">
        <v>70</v>
      </c>
      <c r="C60" s="122"/>
      <c r="D60" s="14">
        <f>((D51*C51)+(D52*C52)+(D53*C53)+(D54*C54)+(D55*C55)+(D56*C56)+(D57*C57)+(D58*C58)+(D59*C59))/9</f>
        <v>0</v>
      </c>
    </row>
    <row r="62" spans="2:4" ht="26" x14ac:dyDescent="0.3">
      <c r="B62" s="98" t="s">
        <v>148</v>
      </c>
      <c r="C62" s="98"/>
      <c r="D62" s="98"/>
    </row>
    <row r="63" spans="2:4" ht="24" x14ac:dyDescent="0.3">
      <c r="B63" s="18" t="s">
        <v>61</v>
      </c>
      <c r="C63" s="18" t="s">
        <v>171</v>
      </c>
      <c r="D63" s="18" t="s">
        <v>62</v>
      </c>
    </row>
    <row r="64" spans="2:4" ht="20" x14ac:dyDescent="0.25">
      <c r="B64" s="7" t="str">
        <f>'01 - INPUT'!C68</f>
        <v>PUBLIC CLOUD CONECTIVITY (VPCs)</v>
      </c>
      <c r="C64" s="45">
        <v>5</v>
      </c>
      <c r="D64" s="7">
        <f>IF('01 - INPUT'!D68="Yes",1,0)</f>
        <v>0</v>
      </c>
    </row>
    <row r="65" spans="2:4" ht="20" x14ac:dyDescent="0.25">
      <c r="B65" s="7" t="str">
        <f>'01 - INPUT'!C69</f>
        <v>IPV6</v>
      </c>
      <c r="C65" s="45">
        <v>5</v>
      </c>
      <c r="D65" s="7">
        <f>IF('01 - INPUT'!D69="Yes",1,0)</f>
        <v>0</v>
      </c>
    </row>
    <row r="66" spans="2:4" ht="20" x14ac:dyDescent="0.25">
      <c r="B66" s="7" t="str">
        <f>'01 - INPUT'!C70</f>
        <v>SAAS BREAKOUT</v>
      </c>
      <c r="C66" s="45">
        <v>5</v>
      </c>
      <c r="D66" s="7">
        <f>IF('01 - INPUT'!D70="Yes",1,0)</f>
        <v>0</v>
      </c>
    </row>
    <row r="67" spans="2:4" ht="20" x14ac:dyDescent="0.25">
      <c r="B67" s="7" t="str">
        <f>'01 - INPUT'!C71</f>
        <v>BRANCH HOSTED VNFs</v>
      </c>
      <c r="C67" s="45">
        <v>5</v>
      </c>
      <c r="D67" s="7">
        <f>IF('01 - INPUT'!D71="Yes",1,0)</f>
        <v>0</v>
      </c>
    </row>
    <row r="68" spans="2:4" ht="20" x14ac:dyDescent="0.25">
      <c r="B68" s="7" t="str">
        <f>'01 - INPUT'!C72</f>
        <v>AUTOMATED SECURITY SERVICE INSERTION</v>
      </c>
      <c r="C68" s="45">
        <v>5</v>
      </c>
      <c r="D68" s="7">
        <f>IF('01 - INPUT'!D72="Yes",1,0)</f>
        <v>0</v>
      </c>
    </row>
    <row r="69" spans="2:4" ht="20" x14ac:dyDescent="0.25">
      <c r="B69" s="7" t="str">
        <f>'01 - INPUT'!C73</f>
        <v>CONEXT AWARE SECURITY ANALYTICS</v>
      </c>
      <c r="C69" s="45">
        <v>5</v>
      </c>
      <c r="D69" s="7">
        <f>IF('01 - INPUT'!D73="Yes",1,0)</f>
        <v>0</v>
      </c>
    </row>
    <row r="70" spans="2:4" ht="24" x14ac:dyDescent="0.3">
      <c r="B70" s="121" t="s">
        <v>70</v>
      </c>
      <c r="C70" s="122"/>
      <c r="D70" s="14">
        <f>((D64*C64)+(D65*C65)+(D66*C66)+(D67*C67)+(D68*C68)+(D69*C69))/6</f>
        <v>0</v>
      </c>
    </row>
    <row r="72" spans="2:4" ht="26" x14ac:dyDescent="0.3">
      <c r="B72" s="115" t="s">
        <v>89</v>
      </c>
      <c r="C72" s="115"/>
      <c r="D72" s="115"/>
    </row>
    <row r="73" spans="2:4" ht="24" x14ac:dyDescent="0.3">
      <c r="B73" s="18" t="s">
        <v>61</v>
      </c>
      <c r="C73" s="18" t="s">
        <v>171</v>
      </c>
      <c r="D73" s="18" t="s">
        <v>62</v>
      </c>
    </row>
    <row r="74" spans="2:4" ht="20" x14ac:dyDescent="0.25">
      <c r="B74" s="7" t="str">
        <f>'01 - INPUT'!C77</f>
        <v>INDEPENDENT VSD CLUSTER?</v>
      </c>
      <c r="C74" s="45">
        <v>5</v>
      </c>
      <c r="D74" s="7">
        <f>IF('01 - INPUT'!D77="Yes",1,0)</f>
        <v>0</v>
      </c>
    </row>
    <row r="75" spans="2:4" ht="20" x14ac:dyDescent="0.25">
      <c r="B75" s="7" t="str">
        <f>'01 - INPUT'!C78</f>
        <v>VRS-K (KVM) QTY</v>
      </c>
      <c r="C75" s="45">
        <v>1</v>
      </c>
      <c r="D75" s="7">
        <f>IF('01 - INPUT'!D78='00 - FORM DATA'!S7,0,IF('01 - INPUT'!D78='00 - FORM DATA'!S8,1,IF('01 - INPUT'!D78='00 - FORM DATA'!S9,2,IF('01 - INPUT'!D78='00 - FORM DATA'!S10,3,IF('01 - INPUT'!D78='00 - FORM DATA'!S11,4,IF('01 - INPUT'!D78='00 - FORM DATA'!S12,5,IF('01 - INPUT'!D78='00 - FORM DATA'!S13,6,IF('01 - INPUT'!D78='00 - FORM DATA'!S14,7,IF('01 - INPUT'!D78='00 - FORM DATA'!S15,8,IF('01 - INPUT'!D78='00 - FORM DATA'!S16,9,IF('01 - INPUT'!D78='00 - FORM DATA'!S17,10,11)))))))))))</f>
        <v>0</v>
      </c>
    </row>
    <row r="76" spans="2:4" ht="20" x14ac:dyDescent="0.25">
      <c r="B76" s="7" t="str">
        <f>'01 - INPUT'!C79</f>
        <v>VRS-H (HYPER-V) QTY</v>
      </c>
      <c r="C76" s="45">
        <v>3</v>
      </c>
      <c r="D76" s="7">
        <f>IF('01 - INPUT'!D79='00 - FORM DATA'!S7,0,IF('01 - INPUT'!D79='00 - FORM DATA'!S8,1,IF('01 - INPUT'!D79='00 - FORM DATA'!S9,2,IF('01 - INPUT'!D79='00 - FORM DATA'!S10,3,IF('01 - INPUT'!D79='00 - FORM DATA'!S11,4,IF('01 - INPUT'!D79='00 - FORM DATA'!S12,5,IF('01 - INPUT'!D79='00 - FORM DATA'!S13,6,IF('01 - INPUT'!D79='00 - FORM DATA'!S14,7,IF('01 - INPUT'!D79='00 - FORM DATA'!S15,8,IF('01 - INPUT'!D79='00 - FORM DATA'!S16,9,IF('01 - INPUT'!D79='00 - FORM DATA'!S17,10,11)))))))))))</f>
        <v>0</v>
      </c>
    </row>
    <row r="77" spans="2:4" ht="20" x14ac:dyDescent="0.25">
      <c r="B77" s="7" t="str">
        <f>'01 - INPUT'!C80</f>
        <v>VRS-V (VMWARE) QTY</v>
      </c>
      <c r="C77" s="45">
        <v>2</v>
      </c>
      <c r="D77" s="7">
        <f>IF('01 - INPUT'!D80='00 - FORM DATA'!S7,0,IF('01 - INPUT'!D80='00 - FORM DATA'!S8,1,IF('01 - INPUT'!D80='00 - FORM DATA'!S9,2,IF('01 - INPUT'!D80='00 - FORM DATA'!S10,3,IF('01 - INPUT'!D80='00 - FORM DATA'!S11,4,IF('01 - INPUT'!D80='00 - FORM DATA'!S12,5,IF('01 - INPUT'!D80='00 - FORM DATA'!S13,6,IF('01 - INPUT'!D80='00 - FORM DATA'!S14,7,IF('01 - INPUT'!D80='00 - FORM DATA'!S15,8,IF('01 - INPUT'!D80='00 - FORM DATA'!S16,9,IF('01 - INPUT'!D80='00 - FORM DATA'!S17,10,11)))))))))))</f>
        <v>0</v>
      </c>
    </row>
    <row r="78" spans="2:4" ht="24" x14ac:dyDescent="0.3">
      <c r="B78" s="121" t="s">
        <v>70</v>
      </c>
      <c r="C78" s="122"/>
      <c r="D78" s="14">
        <f>((D74*C74)+(D75*C75)+(D76*C76)+(D77*C77))/4</f>
        <v>0</v>
      </c>
    </row>
    <row r="80" spans="2:4" ht="26" x14ac:dyDescent="0.3">
      <c r="B80" s="115" t="s">
        <v>93</v>
      </c>
      <c r="C80" s="115"/>
      <c r="D80" s="115"/>
    </row>
    <row r="81" spans="2:4" ht="24" x14ac:dyDescent="0.3">
      <c r="B81" s="18" t="s">
        <v>61</v>
      </c>
      <c r="C81" s="18" t="s">
        <v>171</v>
      </c>
      <c r="D81" s="18" t="s">
        <v>62</v>
      </c>
    </row>
    <row r="82" spans="2:4" ht="20" x14ac:dyDescent="0.25">
      <c r="B82" s="7" t="str">
        <f>'01 - INPUT'!C82</f>
        <v>TELCO CLOUD (DOES THE PROJECT INCLUDES VNFs?)</v>
      </c>
      <c r="C82" s="45">
        <v>15</v>
      </c>
      <c r="D82" s="7">
        <f>IF('01 - INPUT'!D82="Yes",1,0)</f>
        <v>0</v>
      </c>
    </row>
    <row r="83" spans="2:4" ht="20" x14ac:dyDescent="0.25">
      <c r="B83" s="7" t="str">
        <f>'01 - INPUT'!C83</f>
        <v>CMS 1</v>
      </c>
      <c r="C83" s="45">
        <v>5</v>
      </c>
      <c r="D83" s="7">
        <f>IF('01 - INPUT'!D83='00 - FORM DATA'!W7,0,IF('01 - INPUT'!D83='00 - FORM DATA'!W8,1,IF('01 - INPUT'!D83='00 - FORM DATA'!W9,3,IF('01 - INPUT'!D83='00 - FORM DATA'!W10,2,IF('01 - INPUT'!D83='00 - FORM DATA'!W11,4,5)))))</f>
        <v>0</v>
      </c>
    </row>
    <row r="84" spans="2:4" ht="20" x14ac:dyDescent="0.25">
      <c r="B84" s="7" t="str">
        <f>'01 - INPUT'!C84</f>
        <v>CMS 2</v>
      </c>
      <c r="C84" s="45">
        <v>5</v>
      </c>
      <c r="D84" s="7">
        <f>IF('01 - INPUT'!D84='00 - FORM DATA'!W7,0,IF('01 - INPUT'!D84='00 - FORM DATA'!W8,1,IF('01 - INPUT'!D84='00 - FORM DATA'!W9,3,IF('01 - INPUT'!D84='00 - FORM DATA'!W10,2,IF('01 - INPUT'!D84='00 - FORM DATA'!W11,4,5)))))</f>
        <v>0</v>
      </c>
    </row>
    <row r="85" spans="2:4" ht="20" x14ac:dyDescent="0.25">
      <c r="B85" s="7" t="str">
        <f>'01 - INPUT'!C85</f>
        <v>CMS 3</v>
      </c>
      <c r="C85" s="45">
        <v>5</v>
      </c>
      <c r="D85" s="7">
        <f>IF('01 - INPUT'!D85='00 - FORM DATA'!W7,0,IF('01 - INPUT'!D85='00 - FORM DATA'!W8,1,IF('01 - INPUT'!D85='00 - FORM DATA'!W9,3,IF('01 - INPUT'!D85='00 - FORM DATA'!W10,2,IF('01 - INPUT'!D85='00 - FORM DATA'!W11,4,5)))))</f>
        <v>0</v>
      </c>
    </row>
    <row r="86" spans="2:4" ht="20" x14ac:dyDescent="0.25">
      <c r="B86" s="7" t="str">
        <f>'01 - INPUT'!C86</f>
        <v>OPENSHIFT</v>
      </c>
      <c r="C86" s="45">
        <v>5</v>
      </c>
      <c r="D86" s="7">
        <f>IF('01 - INPUT'!D86="Yes",1,0)</f>
        <v>0</v>
      </c>
    </row>
    <row r="87" spans="2:4" ht="20" x14ac:dyDescent="0.25">
      <c r="B87" s="7" t="str">
        <f>'01 - INPUT'!C87</f>
        <v>CONTAINERS</v>
      </c>
      <c r="C87" s="45">
        <v>5</v>
      </c>
      <c r="D87" s="7">
        <f>IF('01 - INPUT'!D87="Yes",1,0)</f>
        <v>0</v>
      </c>
    </row>
    <row r="88" spans="2:4" ht="24" x14ac:dyDescent="0.3">
      <c r="B88" s="121" t="s">
        <v>70</v>
      </c>
      <c r="C88" s="122"/>
      <c r="D88" s="14">
        <f>((D82*C82)+(D83*C83)+(D84*C84)+(D85*C85)+(D86*C86)+(D87*C87))/6</f>
        <v>0</v>
      </c>
    </row>
    <row r="90" spans="2:4" ht="26" x14ac:dyDescent="0.3">
      <c r="B90" s="115" t="s">
        <v>92</v>
      </c>
      <c r="C90" s="115"/>
      <c r="D90" s="115"/>
    </row>
    <row r="91" spans="2:4" ht="24" x14ac:dyDescent="0.3">
      <c r="B91" s="18" t="s">
        <v>61</v>
      </c>
      <c r="C91" s="18" t="s">
        <v>171</v>
      </c>
      <c r="D91" s="18" t="s">
        <v>62</v>
      </c>
    </row>
    <row r="92" spans="2:4" ht="20" x14ac:dyDescent="0.25">
      <c r="B92" s="8" t="str">
        <f>'01 - INPUT'!C89</f>
        <v>210WBX</v>
      </c>
      <c r="C92" s="46">
        <v>3</v>
      </c>
      <c r="D92" s="7">
        <f>IF('01 - INPUT'!D89='00 - FORM DATA'!S7,0,IF('01 - INPUT'!D89='00 - FORM DATA'!S8,1,IF('01 - INPUT'!D89='00 - FORM DATA'!S9,2,IF('01 - INPUT'!D89='00 - FORM DATA'!S10,3,IF('01 - INPUT'!D89='00 - FORM DATA'!S11,4,IF('01 - INPUT'!D89='00 - FORM DATA'!S12,5,IF('01 - INPUT'!D89='00 - FORM DATA'!S13,6,IF('01 - INPUT'!D89='00 - FORM DATA'!S14,7,IF('01 - INPUT'!D89='00 - FORM DATA'!S15,8,IF('01 - INPUT'!D89='00 - FORM DATA'!S16,9,IF('01 - INPUT'!D89='00 - FORM DATA'!S17,10,11)))))))))))</f>
        <v>0</v>
      </c>
    </row>
    <row r="93" spans="2:4" ht="20" x14ac:dyDescent="0.25">
      <c r="B93" s="8" t="str">
        <f>'01 - INPUT'!C90</f>
        <v>NOKIA 7750</v>
      </c>
      <c r="C93" s="46">
        <v>5</v>
      </c>
      <c r="D93" s="7">
        <f>IF('01 - INPUT'!D90='00 - FORM DATA'!S7,0,IF('01 - INPUT'!D90='00 - FORM DATA'!S8,1,IF('01 - INPUT'!D90='00 - FORM DATA'!S9,2,IF('01 - INPUT'!D90='00 - FORM DATA'!S10,3,IF('01 - INPUT'!D90='00 - FORM DATA'!S11,4,IF('01 - INPUT'!D90='00 - FORM DATA'!S12,5,IF('01 - INPUT'!D90='00 - FORM DATA'!S13,6,IF('01 - INPUT'!D90='00 - FORM DATA'!S14,7,IF('01 - INPUT'!D90='00 - FORM DATA'!S15,8,IF('01 - INPUT'!D90='00 - FORM DATA'!S16,9,IF('01 - INPUT'!D90='00 - FORM DATA'!S17,10,11)))))))))))</f>
        <v>0</v>
      </c>
    </row>
    <row r="94" spans="2:4" ht="20" x14ac:dyDescent="0.25">
      <c r="B94" s="8" t="str">
        <f>'01 - INPUT'!C91</f>
        <v>ALE SWITCHES</v>
      </c>
      <c r="C94" s="46">
        <v>5</v>
      </c>
      <c r="D94" s="7">
        <f>IF('01 - INPUT'!D91='00 - FORM DATA'!S7,0,IF('01 - INPUT'!D91='00 - FORM DATA'!S8,1,IF('01 - INPUT'!D91='00 - FORM DATA'!S9,2,IF('01 - INPUT'!D91='00 - FORM DATA'!S10,3,IF('01 - INPUT'!D91='00 - FORM DATA'!S11,4,IF('01 - INPUT'!D91='00 - FORM DATA'!S12,5,IF('01 - INPUT'!D91='00 - FORM DATA'!S13,6,IF('01 - INPUT'!D91='00 - FORM DATA'!S14,7,IF('01 - INPUT'!D91='00 - FORM DATA'!S15,8,IF('01 - INPUT'!D91='00 - FORM DATA'!S16,9,IF('01 - INPUT'!D91='00 - FORM DATA'!S17,10,11)))))))))))</f>
        <v>0</v>
      </c>
    </row>
    <row r="95" spans="2:4" ht="24" x14ac:dyDescent="0.3">
      <c r="B95" s="121" t="s">
        <v>70</v>
      </c>
      <c r="C95" s="122"/>
      <c r="D95" s="14">
        <f>((D92*C92)+(D93*C93)+(D94*C94))/3</f>
        <v>0</v>
      </c>
    </row>
    <row r="97" spans="2:4" ht="26" x14ac:dyDescent="0.3">
      <c r="B97" s="115" t="s">
        <v>137</v>
      </c>
      <c r="C97" s="115"/>
      <c r="D97" s="115"/>
    </row>
    <row r="98" spans="2:4" ht="24" x14ac:dyDescent="0.3">
      <c r="B98" s="18" t="s">
        <v>61</v>
      </c>
      <c r="C98" s="18" t="s">
        <v>171</v>
      </c>
      <c r="D98" s="18" t="s">
        <v>62</v>
      </c>
    </row>
    <row r="99" spans="2:4" ht="20" x14ac:dyDescent="0.25">
      <c r="B99" s="7" t="str">
        <f>'01 - INPUT'!C93</f>
        <v>TRAFFIC STEERING</v>
      </c>
      <c r="C99" s="45">
        <v>5</v>
      </c>
      <c r="D99" s="7">
        <f>IF('01 - INPUT'!D93="No",0,1)</f>
        <v>0</v>
      </c>
    </row>
    <row r="100" spans="2:4" ht="20" x14ac:dyDescent="0.25">
      <c r="B100" s="7" t="str">
        <f>'01 - INPUT'!C94</f>
        <v>ADVANCED POLICIES</v>
      </c>
      <c r="C100" s="45">
        <v>5</v>
      </c>
      <c r="D100" s="7">
        <f>IF('01 - INPUT'!D94="No",0,1)</f>
        <v>0</v>
      </c>
    </row>
    <row r="101" spans="2:4" ht="20" x14ac:dyDescent="0.25">
      <c r="B101" s="7" t="str">
        <f>'01 - INPUT'!C95</f>
        <v>REPORTING</v>
      </c>
      <c r="C101" s="45">
        <v>5</v>
      </c>
      <c r="D101" s="7">
        <f>IF('01 - INPUT'!D95="No",0,1)</f>
        <v>0</v>
      </c>
    </row>
    <row r="102" spans="2:4" ht="20" x14ac:dyDescent="0.25">
      <c r="B102" s="7" t="str">
        <f>'01 - INPUT'!C96</f>
        <v>MULTIPLE DOMAINS</v>
      </c>
      <c r="C102" s="45">
        <v>5</v>
      </c>
      <c r="D102" s="7">
        <f>IF('01 - INPUT'!D96="No",0,1)</f>
        <v>0</v>
      </c>
    </row>
    <row r="103" spans="2:4" ht="20" x14ac:dyDescent="0.25">
      <c r="B103" s="7" t="str">
        <f>'01 - INPUT'!C97</f>
        <v>DPDK</v>
      </c>
      <c r="C103" s="45">
        <v>10</v>
      </c>
      <c r="D103" s="7">
        <f>IF('01 - INPUT'!D97="No",0,1)</f>
        <v>0</v>
      </c>
    </row>
    <row r="104" spans="2:4" ht="20" x14ac:dyDescent="0.25">
      <c r="B104" s="7" t="str">
        <f>'01 - INPUT'!C98</f>
        <v>SRIOV</v>
      </c>
      <c r="C104" s="45">
        <v>10</v>
      </c>
      <c r="D104" s="7">
        <f>IF('01 - INPUT'!D98="No",0,1)</f>
        <v>0</v>
      </c>
    </row>
    <row r="105" spans="2:4" ht="24" x14ac:dyDescent="0.3">
      <c r="B105" s="121" t="s">
        <v>70</v>
      </c>
      <c r="C105" s="122"/>
      <c r="D105" s="14">
        <f>((D99*C99)+(D100*C100)+(D101*C101)+(D102*C102)+(D103*C103)+(D104*C104))/6</f>
        <v>0</v>
      </c>
    </row>
    <row r="107" spans="2:4" ht="26" x14ac:dyDescent="0.3">
      <c r="B107" s="115" t="s">
        <v>255</v>
      </c>
      <c r="C107" s="115"/>
      <c r="D107" s="115"/>
    </row>
    <row r="108" spans="2:4" ht="24" x14ac:dyDescent="0.3">
      <c r="B108" s="18" t="s">
        <v>61</v>
      </c>
      <c r="C108" s="18" t="s">
        <v>171</v>
      </c>
      <c r="D108" s="18" t="s">
        <v>62</v>
      </c>
    </row>
    <row r="109" spans="2:4" ht="20" x14ac:dyDescent="0.25">
      <c r="B109" s="7" t="str">
        <f>'01 - INPUT'!C100</f>
        <v>DATACENTER SWITCHES</v>
      </c>
      <c r="C109" s="45">
        <v>5</v>
      </c>
      <c r="D109" s="7">
        <f>IF('01 - INPUT'!D100="No",0,1)</f>
        <v>0</v>
      </c>
    </row>
    <row r="110" spans="2:4" ht="20" x14ac:dyDescent="0.25">
      <c r="B110" s="7" t="str">
        <f>'01 - INPUT'!C101</f>
        <v>FIREWALLS</v>
      </c>
      <c r="C110" s="45">
        <v>5</v>
      </c>
      <c r="D110" s="7">
        <f>IF('01 - INPUT'!D101="No",0,1)</f>
        <v>0</v>
      </c>
    </row>
    <row r="111" spans="2:4" ht="20" x14ac:dyDescent="0.25">
      <c r="B111" s="7" t="str">
        <f>'01 - INPUT'!C102</f>
        <v>LOAD BALANCERS</v>
      </c>
      <c r="C111" s="45">
        <v>5</v>
      </c>
      <c r="D111" s="7">
        <f>IF('01 - INPUT'!D102="No",0,1)</f>
        <v>0</v>
      </c>
    </row>
    <row r="112" spans="2:4" ht="20" x14ac:dyDescent="0.25">
      <c r="B112" s="7" t="str">
        <f>'01 - INPUT'!C103</f>
        <v>SYSLOG SERVER</v>
      </c>
      <c r="C112" s="45">
        <v>3</v>
      </c>
      <c r="D112" s="7">
        <f>IF('01 - INPUT'!D103="No",0,1)</f>
        <v>0</v>
      </c>
    </row>
    <row r="113" spans="2:4" ht="20" x14ac:dyDescent="0.25">
      <c r="B113" s="7" t="str">
        <f>'01 - INPUT'!C104</f>
        <v>BGP PEERING</v>
      </c>
      <c r="C113" s="45">
        <v>5</v>
      </c>
      <c r="D113" s="7">
        <f>IF('01 - INPUT'!D104="No",0,1)</f>
        <v>0</v>
      </c>
    </row>
    <row r="114" spans="2:4" ht="20" x14ac:dyDescent="0.25">
      <c r="B114" s="7" t="str">
        <f>'01 - INPUT'!C105</f>
        <v>API INTEGRATION</v>
      </c>
      <c r="C114" s="45">
        <v>10</v>
      </c>
      <c r="D114" s="7">
        <f>IF('01 - INPUT'!D105="No",0,1)</f>
        <v>0</v>
      </c>
    </row>
    <row r="115" spans="2:4" ht="20" x14ac:dyDescent="0.25">
      <c r="B115" s="7" t="str">
        <f>'01 - INPUT'!C106</f>
        <v>NOKIA 7750 ROUTER INTEGRATION</v>
      </c>
      <c r="C115" s="45">
        <v>5</v>
      </c>
      <c r="D115" s="7">
        <f>IF('01 - INPUT'!D106="No",0,1)</f>
        <v>0</v>
      </c>
    </row>
    <row r="116" spans="2:4" ht="24" x14ac:dyDescent="0.3">
      <c r="B116" s="121" t="s">
        <v>70</v>
      </c>
      <c r="C116" s="122"/>
      <c r="D116" s="14">
        <f>((D109*C109)+(D110*C110)+(D111*C111)+(D112*C112)+(D113*C113)+(D114*C114)+(D115*C115))/7</f>
        <v>0</v>
      </c>
    </row>
    <row r="117" spans="2:4" s="19" customFormat="1" x14ac:dyDescent="0.2">
      <c r="C117" s="43"/>
    </row>
    <row r="118" spans="2:4" s="19" customFormat="1" ht="24" x14ac:dyDescent="0.3">
      <c r="B118" s="9" t="s">
        <v>197</v>
      </c>
      <c r="C118" s="44"/>
      <c r="D118" s="14">
        <f>((D8*C8)+(D9*C9)+(D10*C10)+(D11*C11))/4</f>
        <v>0</v>
      </c>
    </row>
    <row r="119" spans="2:4" s="19" customFormat="1" x14ac:dyDescent="0.2">
      <c r="C119" s="43"/>
    </row>
    <row r="120" spans="2:4" s="19" customFormat="1" x14ac:dyDescent="0.2"/>
    <row r="121" spans="2:4" s="19" customFormat="1" x14ac:dyDescent="0.2"/>
    <row r="122" spans="2:4" s="19" customFormat="1" x14ac:dyDescent="0.2"/>
    <row r="123" spans="2:4" s="19" customFormat="1" x14ac:dyDescent="0.2"/>
    <row r="124" spans="2:4" s="19" customFormat="1" x14ac:dyDescent="0.2"/>
    <row r="125" spans="2:4" s="19" customFormat="1" x14ac:dyDescent="0.2"/>
    <row r="126" spans="2:4" s="19" customFormat="1" x14ac:dyDescent="0.2"/>
    <row r="127" spans="2:4" s="19" customFormat="1" x14ac:dyDescent="0.2"/>
    <row r="128" spans="2:4" s="19" customFormat="1" x14ac:dyDescent="0.2"/>
    <row r="129" s="19" customFormat="1" x14ac:dyDescent="0.2"/>
    <row r="130" s="19" customFormat="1" x14ac:dyDescent="0.2"/>
    <row r="131" s="19" customFormat="1" x14ac:dyDescent="0.2"/>
    <row r="132" s="19" customFormat="1" x14ac:dyDescent="0.2"/>
    <row r="133" s="19" customFormat="1" x14ac:dyDescent="0.2"/>
    <row r="134" s="19" customFormat="1" x14ac:dyDescent="0.2"/>
    <row r="135" s="19" customFormat="1" x14ac:dyDescent="0.2"/>
    <row r="136" s="19" customFormat="1" x14ac:dyDescent="0.2"/>
    <row r="137" s="19" customFormat="1" x14ac:dyDescent="0.2"/>
    <row r="138" s="19" customFormat="1" x14ac:dyDescent="0.2"/>
    <row r="139" s="19" customFormat="1" x14ac:dyDescent="0.2"/>
    <row r="140" s="19" customFormat="1" x14ac:dyDescent="0.2"/>
    <row r="141" s="19" customFormat="1" x14ac:dyDescent="0.2"/>
    <row r="142" s="19" customFormat="1" x14ac:dyDescent="0.2"/>
    <row r="143" s="19" customFormat="1" x14ac:dyDescent="0.2"/>
    <row r="144" s="19" customFormat="1" x14ac:dyDescent="0.2"/>
    <row r="145" s="19" customFormat="1" x14ac:dyDescent="0.2"/>
    <row r="146" s="19" customFormat="1" x14ac:dyDescent="0.2"/>
    <row r="147" s="19" customFormat="1" x14ac:dyDescent="0.2"/>
    <row r="148" s="19" customFormat="1" x14ac:dyDescent="0.2"/>
    <row r="149" s="19" customFormat="1" x14ac:dyDescent="0.2"/>
    <row r="150" s="19" customFormat="1" x14ac:dyDescent="0.2"/>
    <row r="151" s="19" customFormat="1" x14ac:dyDescent="0.2"/>
    <row r="152" s="19" customFormat="1" x14ac:dyDescent="0.2"/>
    <row r="153" s="19" customFormat="1" x14ac:dyDescent="0.2"/>
    <row r="154" s="19" customFormat="1" x14ac:dyDescent="0.2"/>
    <row r="155" s="19" customFormat="1" x14ac:dyDescent="0.2"/>
    <row r="156" s="19" customFormat="1" x14ac:dyDescent="0.2"/>
    <row r="157" s="19" customFormat="1" x14ac:dyDescent="0.2"/>
    <row r="158" s="19" customFormat="1" x14ac:dyDescent="0.2"/>
    <row r="159" s="19" customFormat="1" x14ac:dyDescent="0.2"/>
    <row r="160" s="19" customFormat="1" x14ac:dyDescent="0.2"/>
    <row r="161" s="19" customFormat="1" x14ac:dyDescent="0.2"/>
    <row r="162" s="19" customFormat="1" x14ac:dyDescent="0.2"/>
    <row r="163" s="19" customFormat="1" x14ac:dyDescent="0.2"/>
    <row r="164" s="19" customFormat="1" x14ac:dyDescent="0.2"/>
    <row r="165" s="19" customFormat="1" x14ac:dyDescent="0.2"/>
    <row r="166" s="19" customFormat="1" x14ac:dyDescent="0.2"/>
    <row r="167" s="19" customFormat="1" x14ac:dyDescent="0.2"/>
    <row r="168" s="19" customFormat="1" x14ac:dyDescent="0.2"/>
    <row r="169" s="19" customFormat="1" x14ac:dyDescent="0.2"/>
    <row r="170" s="19" customFormat="1" x14ac:dyDescent="0.2"/>
    <row r="171" s="19" customFormat="1" x14ac:dyDescent="0.2"/>
    <row r="172" s="19" customFormat="1" x14ac:dyDescent="0.2"/>
    <row r="173" s="19" customFormat="1" x14ac:dyDescent="0.2"/>
    <row r="174" s="19" customFormat="1" x14ac:dyDescent="0.2"/>
    <row r="175" s="19" customFormat="1" x14ac:dyDescent="0.2"/>
    <row r="176" s="19" customFormat="1" x14ac:dyDescent="0.2"/>
    <row r="177" s="19" customFormat="1" x14ac:dyDescent="0.2"/>
    <row r="178" s="19" customFormat="1" x14ac:dyDescent="0.2"/>
    <row r="179" s="19" customFormat="1" x14ac:dyDescent="0.2"/>
    <row r="180" s="19" customFormat="1" x14ac:dyDescent="0.2"/>
    <row r="181" s="19" customFormat="1" x14ac:dyDescent="0.2"/>
    <row r="182" s="19" customFormat="1" x14ac:dyDescent="0.2"/>
    <row r="183" s="19" customFormat="1" x14ac:dyDescent="0.2"/>
    <row r="184" s="19" customFormat="1" x14ac:dyDescent="0.2"/>
    <row r="185" s="19" customFormat="1" x14ac:dyDescent="0.2"/>
    <row r="186" s="19" customFormat="1" x14ac:dyDescent="0.2"/>
    <row r="187" s="19" customFormat="1" x14ac:dyDescent="0.2"/>
    <row r="188" s="19" customFormat="1" x14ac:dyDescent="0.2"/>
    <row r="189" s="19" customFormat="1" x14ac:dyDescent="0.2"/>
    <row r="190" s="19" customFormat="1" x14ac:dyDescent="0.2"/>
    <row r="191" s="19" customFormat="1" x14ac:dyDescent="0.2"/>
    <row r="192" s="19" customFormat="1" x14ac:dyDescent="0.2"/>
    <row r="193" s="19" customFormat="1" x14ac:dyDescent="0.2"/>
    <row r="194" s="19" customFormat="1" x14ac:dyDescent="0.2"/>
    <row r="195" s="19" customFormat="1" x14ac:dyDescent="0.2"/>
    <row r="196" s="19" customFormat="1" x14ac:dyDescent="0.2"/>
    <row r="197" s="19" customFormat="1" x14ac:dyDescent="0.2"/>
    <row r="198" s="19" customFormat="1" x14ac:dyDescent="0.2"/>
    <row r="199" s="19" customFormat="1" x14ac:dyDescent="0.2"/>
    <row r="200" s="19" customFormat="1" x14ac:dyDescent="0.2"/>
    <row r="201" s="19" customFormat="1" x14ac:dyDescent="0.2"/>
    <row r="202" s="19" customFormat="1" x14ac:dyDescent="0.2"/>
    <row r="203" s="19" customFormat="1" x14ac:dyDescent="0.2"/>
    <row r="204" s="19" customFormat="1" x14ac:dyDescent="0.2"/>
    <row r="205" s="19" customFormat="1" x14ac:dyDescent="0.2"/>
    <row r="206" s="19" customFormat="1" x14ac:dyDescent="0.2"/>
    <row r="207" s="19" customFormat="1" x14ac:dyDescent="0.2"/>
    <row r="208" s="19" customFormat="1" x14ac:dyDescent="0.2"/>
    <row r="209" s="19" customFormat="1" x14ac:dyDescent="0.2"/>
    <row r="210" s="19" customFormat="1" x14ac:dyDescent="0.2"/>
    <row r="211" s="19" customFormat="1" x14ac:dyDescent="0.2"/>
    <row r="212" s="19" customFormat="1" x14ac:dyDescent="0.2"/>
    <row r="213" s="19" customFormat="1" x14ac:dyDescent="0.2"/>
    <row r="214" s="19" customFormat="1" x14ac:dyDescent="0.2"/>
    <row r="215" s="19" customFormat="1" x14ac:dyDescent="0.2"/>
    <row r="216" s="19" customFormat="1" x14ac:dyDescent="0.2"/>
    <row r="217" s="19" customFormat="1" x14ac:dyDescent="0.2"/>
    <row r="218" s="19" customFormat="1" x14ac:dyDescent="0.2"/>
    <row r="219" s="19" customFormat="1" x14ac:dyDescent="0.2"/>
    <row r="220" s="19" customFormat="1" x14ac:dyDescent="0.2"/>
    <row r="221" s="19" customFormat="1" x14ac:dyDescent="0.2"/>
    <row r="222" s="19" customFormat="1" x14ac:dyDescent="0.2"/>
    <row r="223" s="19" customFormat="1" x14ac:dyDescent="0.2"/>
    <row r="224" s="19" customFormat="1" x14ac:dyDescent="0.2"/>
    <row r="225" s="19" customFormat="1" x14ac:dyDescent="0.2"/>
    <row r="226" s="19" customFormat="1" x14ac:dyDescent="0.2"/>
    <row r="227" s="19" customFormat="1" x14ac:dyDescent="0.2"/>
    <row r="228" s="19" customFormat="1" x14ac:dyDescent="0.2"/>
    <row r="229" s="19" customFormat="1" x14ac:dyDescent="0.2"/>
    <row r="230" s="19" customFormat="1" x14ac:dyDescent="0.2"/>
    <row r="231" s="19" customFormat="1" x14ac:dyDescent="0.2"/>
    <row r="232" s="19" customFormat="1" x14ac:dyDescent="0.2"/>
    <row r="233" s="19" customFormat="1" x14ac:dyDescent="0.2"/>
    <row r="234" s="19" customFormat="1" x14ac:dyDescent="0.2"/>
    <row r="235" s="19" customFormat="1" x14ac:dyDescent="0.2"/>
    <row r="236" s="19" customFormat="1" x14ac:dyDescent="0.2"/>
    <row r="237" s="19" customFormat="1" x14ac:dyDescent="0.2"/>
    <row r="238" s="19" customFormat="1" x14ac:dyDescent="0.2"/>
    <row r="239" s="19" customFormat="1" x14ac:dyDescent="0.2"/>
    <row r="240" s="19" customFormat="1" x14ac:dyDescent="0.2"/>
    <row r="241" s="19" customFormat="1" x14ac:dyDescent="0.2"/>
    <row r="242" s="19" customFormat="1" x14ac:dyDescent="0.2"/>
    <row r="243" s="19" customFormat="1" x14ac:dyDescent="0.2"/>
    <row r="244" s="19" customFormat="1" x14ac:dyDescent="0.2"/>
    <row r="245" s="19" customFormat="1" x14ac:dyDescent="0.2"/>
    <row r="246" s="19" customFormat="1" x14ac:dyDescent="0.2"/>
    <row r="247" s="19" customFormat="1" x14ac:dyDescent="0.2"/>
    <row r="248" s="19" customFormat="1" x14ac:dyDescent="0.2"/>
    <row r="249" s="19" customFormat="1" x14ac:dyDescent="0.2"/>
    <row r="250" s="19" customFormat="1" x14ac:dyDescent="0.2"/>
    <row r="251" s="19" customFormat="1" x14ac:dyDescent="0.2"/>
    <row r="252" s="19" customFormat="1" x14ac:dyDescent="0.2"/>
    <row r="253" s="19" customFormat="1" x14ac:dyDescent="0.2"/>
    <row r="254" s="19" customFormat="1" x14ac:dyDescent="0.2"/>
    <row r="255" s="19" customFormat="1" x14ac:dyDescent="0.2"/>
    <row r="256" s="19" customFormat="1" x14ac:dyDescent="0.2"/>
    <row r="257" s="19" customFormat="1" x14ac:dyDescent="0.2"/>
    <row r="258" s="19" customFormat="1" x14ac:dyDescent="0.2"/>
    <row r="259" s="19" customFormat="1" x14ac:dyDescent="0.2"/>
    <row r="260" s="19" customFormat="1" x14ac:dyDescent="0.2"/>
    <row r="261" s="19" customFormat="1" x14ac:dyDescent="0.2"/>
    <row r="262" s="19" customFormat="1" x14ac:dyDescent="0.2"/>
    <row r="263" s="19" customFormat="1" x14ac:dyDescent="0.2"/>
    <row r="264" s="19" customFormat="1" x14ac:dyDescent="0.2"/>
    <row r="265" s="19" customFormat="1" x14ac:dyDescent="0.2"/>
    <row r="266" s="19" customFormat="1" x14ac:dyDescent="0.2"/>
    <row r="267" s="19" customFormat="1" x14ac:dyDescent="0.2"/>
    <row r="268" s="19" customFormat="1" x14ac:dyDescent="0.2"/>
    <row r="269" s="19" customFormat="1" x14ac:dyDescent="0.2"/>
    <row r="270" s="19" customFormat="1" x14ac:dyDescent="0.2"/>
    <row r="271" s="19" customFormat="1" x14ac:dyDescent="0.2"/>
    <row r="272" s="19" customFormat="1" x14ac:dyDescent="0.2"/>
    <row r="273" s="19" customFormat="1" x14ac:dyDescent="0.2"/>
    <row r="274" s="19" customFormat="1" x14ac:dyDescent="0.2"/>
    <row r="275" s="19" customFormat="1" x14ac:dyDescent="0.2"/>
    <row r="276" s="19" customFormat="1" x14ac:dyDescent="0.2"/>
    <row r="277" s="19" customFormat="1" x14ac:dyDescent="0.2"/>
    <row r="278" s="19" customFormat="1" x14ac:dyDescent="0.2"/>
    <row r="279" s="19" customFormat="1" x14ac:dyDescent="0.2"/>
    <row r="280" s="19" customFormat="1" x14ac:dyDescent="0.2"/>
    <row r="281" s="19" customFormat="1" x14ac:dyDescent="0.2"/>
    <row r="282" s="19" customFormat="1" x14ac:dyDescent="0.2"/>
    <row r="283" s="19" customFormat="1" x14ac:dyDescent="0.2"/>
    <row r="284" s="19" customFormat="1" x14ac:dyDescent="0.2"/>
    <row r="285" s="19" customFormat="1" x14ac:dyDescent="0.2"/>
    <row r="286" s="19" customFormat="1" x14ac:dyDescent="0.2"/>
    <row r="287" s="19" customFormat="1" x14ac:dyDescent="0.2"/>
    <row r="288" s="19" customFormat="1" x14ac:dyDescent="0.2"/>
    <row r="289" s="19" customFormat="1" x14ac:dyDescent="0.2"/>
    <row r="290" s="19" customFormat="1" x14ac:dyDescent="0.2"/>
    <row r="291" s="19" customFormat="1" x14ac:dyDescent="0.2"/>
    <row r="292" s="19" customFormat="1" x14ac:dyDescent="0.2"/>
    <row r="293" s="19" customFormat="1" x14ac:dyDescent="0.2"/>
    <row r="294" s="19" customFormat="1" x14ac:dyDescent="0.2"/>
    <row r="295" s="19" customFormat="1" x14ac:dyDescent="0.2"/>
    <row r="296" s="19" customFormat="1" x14ac:dyDescent="0.2"/>
    <row r="297" s="19" customFormat="1" x14ac:dyDescent="0.2"/>
    <row r="298" s="19" customFormat="1" x14ac:dyDescent="0.2"/>
    <row r="299" s="19" customFormat="1" x14ac:dyDescent="0.2"/>
    <row r="300" s="19" customFormat="1" x14ac:dyDescent="0.2"/>
    <row r="301" s="19" customFormat="1" x14ac:dyDescent="0.2"/>
    <row r="302" s="19" customFormat="1" x14ac:dyDescent="0.2"/>
    <row r="303" s="19" customFormat="1" x14ac:dyDescent="0.2"/>
    <row r="304" s="19" customFormat="1" x14ac:dyDescent="0.2"/>
    <row r="305" s="19" customFormat="1" x14ac:dyDescent="0.2"/>
    <row r="306" s="19" customFormat="1" x14ac:dyDescent="0.2"/>
    <row r="307" s="19" customFormat="1" x14ac:dyDescent="0.2"/>
    <row r="308" s="19" customFormat="1" x14ac:dyDescent="0.2"/>
    <row r="309" s="19" customFormat="1" x14ac:dyDescent="0.2"/>
    <row r="310" s="19" customFormat="1" x14ac:dyDescent="0.2"/>
    <row r="311" s="19" customFormat="1" x14ac:dyDescent="0.2"/>
    <row r="312" s="19" customFormat="1" x14ac:dyDescent="0.2"/>
    <row r="313" s="19" customFormat="1" x14ac:dyDescent="0.2"/>
    <row r="314" s="19" customFormat="1" x14ac:dyDescent="0.2"/>
    <row r="315" s="19" customFormat="1" x14ac:dyDescent="0.2"/>
    <row r="316" s="19" customFormat="1" x14ac:dyDescent="0.2"/>
    <row r="317" s="19" customFormat="1" x14ac:dyDescent="0.2"/>
    <row r="318" s="19" customFormat="1" x14ac:dyDescent="0.2"/>
    <row r="319" s="19" customFormat="1" x14ac:dyDescent="0.2"/>
    <row r="320" s="19" customFormat="1" x14ac:dyDescent="0.2"/>
    <row r="321" s="19" customFormat="1" x14ac:dyDescent="0.2"/>
    <row r="322" s="19" customFormat="1" x14ac:dyDescent="0.2"/>
    <row r="323" s="19" customFormat="1" x14ac:dyDescent="0.2"/>
    <row r="324" s="19" customFormat="1" x14ac:dyDescent="0.2"/>
    <row r="325" s="19" customFormat="1" x14ac:dyDescent="0.2"/>
    <row r="326" s="19" customFormat="1" x14ac:dyDescent="0.2"/>
    <row r="327" s="19" customFormat="1" x14ac:dyDescent="0.2"/>
    <row r="328" s="19" customFormat="1" x14ac:dyDescent="0.2"/>
    <row r="329" s="19" customFormat="1" x14ac:dyDescent="0.2"/>
    <row r="330" s="19" customFormat="1" x14ac:dyDescent="0.2"/>
    <row r="331" s="19" customFormat="1" x14ac:dyDescent="0.2"/>
    <row r="332" s="19" customFormat="1" x14ac:dyDescent="0.2"/>
    <row r="333" s="19" customFormat="1" x14ac:dyDescent="0.2"/>
    <row r="334" s="19" customFormat="1" x14ac:dyDescent="0.2"/>
    <row r="335" s="19" customFormat="1" x14ac:dyDescent="0.2"/>
    <row r="336" s="19" customFormat="1" x14ac:dyDescent="0.2"/>
    <row r="337" s="19" customFormat="1" x14ac:dyDescent="0.2"/>
    <row r="338" s="19" customFormat="1" x14ac:dyDescent="0.2"/>
    <row r="339" s="19" customFormat="1" x14ac:dyDescent="0.2"/>
    <row r="340" s="19" customFormat="1" x14ac:dyDescent="0.2"/>
    <row r="341" s="19" customFormat="1" x14ac:dyDescent="0.2"/>
    <row r="342" s="19" customFormat="1" x14ac:dyDescent="0.2"/>
    <row r="343" s="19" customFormat="1" x14ac:dyDescent="0.2"/>
    <row r="344" s="19" customFormat="1" x14ac:dyDescent="0.2"/>
    <row r="345" s="19" customFormat="1" x14ac:dyDescent="0.2"/>
    <row r="346" s="19" customFormat="1" x14ac:dyDescent="0.2"/>
    <row r="347" s="19" customFormat="1" x14ac:dyDescent="0.2"/>
    <row r="348" s="19" customFormat="1" x14ac:dyDescent="0.2"/>
    <row r="349" s="19" customFormat="1" x14ac:dyDescent="0.2"/>
    <row r="350" s="19" customFormat="1" x14ac:dyDescent="0.2"/>
    <row r="351" s="19" customFormat="1" x14ac:dyDescent="0.2"/>
    <row r="352" s="19" customFormat="1" x14ac:dyDescent="0.2"/>
    <row r="353" s="19" customFormat="1" x14ac:dyDescent="0.2"/>
    <row r="354" s="19" customFormat="1" x14ac:dyDescent="0.2"/>
    <row r="355" s="19" customFormat="1" x14ac:dyDescent="0.2"/>
    <row r="356" s="19" customFormat="1" x14ac:dyDescent="0.2"/>
    <row r="357" s="19" customFormat="1" x14ac:dyDescent="0.2"/>
    <row r="358" s="19" customFormat="1" x14ac:dyDescent="0.2"/>
    <row r="359" s="19" customFormat="1" x14ac:dyDescent="0.2"/>
    <row r="360" s="19" customFormat="1" x14ac:dyDescent="0.2"/>
    <row r="361" s="19" customFormat="1" x14ac:dyDescent="0.2"/>
    <row r="362" s="19" customFormat="1" x14ac:dyDescent="0.2"/>
    <row r="363" s="19" customFormat="1" x14ac:dyDescent="0.2"/>
    <row r="364" s="19" customFormat="1" x14ac:dyDescent="0.2"/>
    <row r="365" s="19" customFormat="1" x14ac:dyDescent="0.2"/>
    <row r="366" s="19" customFormat="1" x14ac:dyDescent="0.2"/>
    <row r="367" s="19" customFormat="1" x14ac:dyDescent="0.2"/>
    <row r="368" s="19" customFormat="1" x14ac:dyDescent="0.2"/>
    <row r="369" s="19" customFormat="1" x14ac:dyDescent="0.2"/>
    <row r="370" s="19" customFormat="1" x14ac:dyDescent="0.2"/>
    <row r="371" s="19" customFormat="1" x14ac:dyDescent="0.2"/>
    <row r="372" s="19" customFormat="1" x14ac:dyDescent="0.2"/>
    <row r="373" s="19" customFormat="1" x14ac:dyDescent="0.2"/>
    <row r="374" s="19" customFormat="1" x14ac:dyDescent="0.2"/>
    <row r="375" s="19" customFormat="1" x14ac:dyDescent="0.2"/>
    <row r="376" s="19" customFormat="1" x14ac:dyDescent="0.2"/>
    <row r="377" s="19" customFormat="1" x14ac:dyDescent="0.2"/>
    <row r="378" s="19" customFormat="1" x14ac:dyDescent="0.2"/>
    <row r="379" s="19" customFormat="1" x14ac:dyDescent="0.2"/>
    <row r="380" s="19" customFormat="1" x14ac:dyDescent="0.2"/>
    <row r="381" s="19" customFormat="1" x14ac:dyDescent="0.2"/>
    <row r="382" s="19" customFormat="1" x14ac:dyDescent="0.2"/>
    <row r="383" s="19" customFormat="1" x14ac:dyDescent="0.2"/>
    <row r="384" s="19" customFormat="1" x14ac:dyDescent="0.2"/>
    <row r="385" s="19" customFormat="1" x14ac:dyDescent="0.2"/>
    <row r="386" s="19" customFormat="1" x14ac:dyDescent="0.2"/>
    <row r="387" s="19" customFormat="1" x14ac:dyDescent="0.2"/>
    <row r="388" s="19" customFormat="1" x14ac:dyDescent="0.2"/>
    <row r="389" s="19" customFormat="1" x14ac:dyDescent="0.2"/>
    <row r="390" s="19" customFormat="1" x14ac:dyDescent="0.2"/>
    <row r="391" s="19" customFormat="1" x14ac:dyDescent="0.2"/>
    <row r="392" s="19" customFormat="1" x14ac:dyDescent="0.2"/>
    <row r="393" s="19" customFormat="1" x14ac:dyDescent="0.2"/>
    <row r="394" s="19" customFormat="1" x14ac:dyDescent="0.2"/>
    <row r="395" s="19" customFormat="1" x14ac:dyDescent="0.2"/>
    <row r="396" s="19" customFormat="1" x14ac:dyDescent="0.2"/>
    <row r="397" s="19" customFormat="1" x14ac:dyDescent="0.2"/>
    <row r="398" s="19" customFormat="1" x14ac:dyDescent="0.2"/>
    <row r="399" s="19" customFormat="1" x14ac:dyDescent="0.2"/>
    <row r="400" s="19" customFormat="1" x14ac:dyDescent="0.2"/>
    <row r="401" s="19" customFormat="1" x14ac:dyDescent="0.2"/>
    <row r="402" s="19" customFormat="1" x14ac:dyDescent="0.2"/>
    <row r="403" s="19" customFormat="1" x14ac:dyDescent="0.2"/>
    <row r="404" s="19" customFormat="1" x14ac:dyDescent="0.2"/>
    <row r="405" s="19" customFormat="1" x14ac:dyDescent="0.2"/>
    <row r="406" s="19" customFormat="1" x14ac:dyDescent="0.2"/>
    <row r="407" s="19" customFormat="1" x14ac:dyDescent="0.2"/>
    <row r="408" s="19" customFormat="1" x14ac:dyDescent="0.2"/>
    <row r="409" s="19" customFormat="1" x14ac:dyDescent="0.2"/>
    <row r="410" s="19" customFormat="1" x14ac:dyDescent="0.2"/>
    <row r="411" s="19" customFormat="1" x14ac:dyDescent="0.2"/>
    <row r="412" s="19" customFormat="1" x14ac:dyDescent="0.2"/>
    <row r="413" s="19" customFormat="1" x14ac:dyDescent="0.2"/>
    <row r="414" s="19" customFormat="1" x14ac:dyDescent="0.2"/>
    <row r="415" s="19" customFormat="1" x14ac:dyDescent="0.2"/>
    <row r="416" s="19" customFormat="1" x14ac:dyDescent="0.2"/>
    <row r="417" s="19" customFormat="1" x14ac:dyDescent="0.2"/>
    <row r="418" s="19" customFormat="1" x14ac:dyDescent="0.2"/>
    <row r="419" s="19" customFormat="1" x14ac:dyDescent="0.2"/>
    <row r="420" s="19" customFormat="1" x14ac:dyDescent="0.2"/>
    <row r="421" s="19" customFormat="1" x14ac:dyDescent="0.2"/>
    <row r="422" s="19" customFormat="1" x14ac:dyDescent="0.2"/>
    <row r="423" s="19" customFormat="1" x14ac:dyDescent="0.2"/>
    <row r="424" s="19" customFormat="1" x14ac:dyDescent="0.2"/>
    <row r="425" s="19" customFormat="1" x14ac:dyDescent="0.2"/>
    <row r="426" s="19" customFormat="1" x14ac:dyDescent="0.2"/>
    <row r="427" s="19" customFormat="1" x14ac:dyDescent="0.2"/>
    <row r="428" s="19" customFormat="1" x14ac:dyDescent="0.2"/>
    <row r="429" s="19" customFormat="1" x14ac:dyDescent="0.2"/>
    <row r="430" s="19" customFormat="1" x14ac:dyDescent="0.2"/>
    <row r="431" s="19" customFormat="1" x14ac:dyDescent="0.2"/>
    <row r="432" s="19" customFormat="1" x14ac:dyDescent="0.2"/>
    <row r="433" s="19" customFormat="1" x14ac:dyDescent="0.2"/>
    <row r="434" s="19" customFormat="1" x14ac:dyDescent="0.2"/>
    <row r="435" s="19" customFormat="1" x14ac:dyDescent="0.2"/>
    <row r="436" s="19" customFormat="1" x14ac:dyDescent="0.2"/>
    <row r="437" s="19" customFormat="1" x14ac:dyDescent="0.2"/>
    <row r="438" s="19" customFormat="1" x14ac:dyDescent="0.2"/>
    <row r="439" s="19" customFormat="1" x14ac:dyDescent="0.2"/>
    <row r="440" s="19" customFormat="1" x14ac:dyDescent="0.2"/>
    <row r="441" s="19" customFormat="1" x14ac:dyDescent="0.2"/>
    <row r="442" s="19" customFormat="1" x14ac:dyDescent="0.2"/>
    <row r="443" s="19" customFormat="1" x14ac:dyDescent="0.2"/>
    <row r="444" s="19" customFormat="1" x14ac:dyDescent="0.2"/>
    <row r="445" s="19" customFormat="1" x14ac:dyDescent="0.2"/>
    <row r="446" s="19" customFormat="1" x14ac:dyDescent="0.2"/>
    <row r="447" s="19" customFormat="1" x14ac:dyDescent="0.2"/>
    <row r="448" s="19" customFormat="1" x14ac:dyDescent="0.2"/>
    <row r="449" s="19" customFormat="1" x14ac:dyDescent="0.2"/>
    <row r="450" s="19" customFormat="1" x14ac:dyDescent="0.2"/>
    <row r="451" s="19" customFormat="1" x14ac:dyDescent="0.2"/>
    <row r="452" s="19" customFormat="1" x14ac:dyDescent="0.2"/>
    <row r="453" s="19" customFormat="1" x14ac:dyDescent="0.2"/>
    <row r="454" s="19" customFormat="1" x14ac:dyDescent="0.2"/>
    <row r="455" s="19" customFormat="1" x14ac:dyDescent="0.2"/>
    <row r="456" s="19" customFormat="1" x14ac:dyDescent="0.2"/>
    <row r="457" s="19" customFormat="1" x14ac:dyDescent="0.2"/>
    <row r="458" s="19" customFormat="1" x14ac:dyDescent="0.2"/>
    <row r="459" s="19" customFormat="1" x14ac:dyDescent="0.2"/>
    <row r="460" s="19" customFormat="1" x14ac:dyDescent="0.2"/>
    <row r="461" s="19" customFormat="1" x14ac:dyDescent="0.2"/>
    <row r="462" s="19" customFormat="1" x14ac:dyDescent="0.2"/>
    <row r="463" s="19" customFormat="1" x14ac:dyDescent="0.2"/>
    <row r="464" s="19" customFormat="1" x14ac:dyDescent="0.2"/>
    <row r="465" s="19" customFormat="1" x14ac:dyDescent="0.2"/>
    <row r="466" s="19" customFormat="1" x14ac:dyDescent="0.2"/>
    <row r="467" s="19" customFormat="1" x14ac:dyDescent="0.2"/>
    <row r="468" s="19" customFormat="1" x14ac:dyDescent="0.2"/>
    <row r="469" s="19" customFormat="1" x14ac:dyDescent="0.2"/>
    <row r="470" s="19" customFormat="1" x14ac:dyDescent="0.2"/>
    <row r="471" s="19" customFormat="1" x14ac:dyDescent="0.2"/>
    <row r="472" s="19" customFormat="1" x14ac:dyDescent="0.2"/>
    <row r="473" s="19" customFormat="1" x14ac:dyDescent="0.2"/>
    <row r="474" s="19" customFormat="1" x14ac:dyDescent="0.2"/>
    <row r="475" s="19" customFormat="1" x14ac:dyDescent="0.2"/>
    <row r="476" s="19" customFormat="1" x14ac:dyDescent="0.2"/>
    <row r="477" s="19" customFormat="1" x14ac:dyDescent="0.2"/>
    <row r="478" s="19" customFormat="1" x14ac:dyDescent="0.2"/>
    <row r="479" s="19" customFormat="1" x14ac:dyDescent="0.2"/>
    <row r="480" s="19" customFormat="1" x14ac:dyDescent="0.2"/>
    <row r="481" s="19" customFormat="1" x14ac:dyDescent="0.2"/>
    <row r="482" s="19" customFormat="1" x14ac:dyDescent="0.2"/>
    <row r="483" s="19" customFormat="1" x14ac:dyDescent="0.2"/>
    <row r="484" s="19" customFormat="1" x14ac:dyDescent="0.2"/>
    <row r="485" s="19" customFormat="1" x14ac:dyDescent="0.2"/>
    <row r="486" s="19" customFormat="1" x14ac:dyDescent="0.2"/>
    <row r="487" s="19" customFormat="1" x14ac:dyDescent="0.2"/>
    <row r="488" s="19" customFormat="1" x14ac:dyDescent="0.2"/>
    <row r="489" s="19" customFormat="1" x14ac:dyDescent="0.2"/>
    <row r="490" s="19" customFormat="1" x14ac:dyDescent="0.2"/>
    <row r="491" s="19" customFormat="1" x14ac:dyDescent="0.2"/>
    <row r="492" s="19" customFormat="1" x14ac:dyDescent="0.2"/>
    <row r="493" s="19" customFormat="1" x14ac:dyDescent="0.2"/>
    <row r="494" s="19" customFormat="1" x14ac:dyDescent="0.2"/>
    <row r="495" s="19" customFormat="1" x14ac:dyDescent="0.2"/>
    <row r="496" s="19" customFormat="1" x14ac:dyDescent="0.2"/>
    <row r="497" s="19" customFormat="1" x14ac:dyDescent="0.2"/>
    <row r="498" s="19" customFormat="1" x14ac:dyDescent="0.2"/>
    <row r="499" s="19" customFormat="1" x14ac:dyDescent="0.2"/>
    <row r="500" s="19" customFormat="1" x14ac:dyDescent="0.2"/>
    <row r="501" s="19" customFormat="1" x14ac:dyDescent="0.2"/>
    <row r="502" s="19" customFormat="1" x14ac:dyDescent="0.2"/>
    <row r="503" s="19" customFormat="1" x14ac:dyDescent="0.2"/>
    <row r="504" s="19" customFormat="1" x14ac:dyDescent="0.2"/>
    <row r="505" s="19" customFormat="1" x14ac:dyDescent="0.2"/>
    <row r="506" s="19" customFormat="1" x14ac:dyDescent="0.2"/>
    <row r="507" s="19" customFormat="1" x14ac:dyDescent="0.2"/>
    <row r="508" s="19" customFormat="1" x14ac:dyDescent="0.2"/>
    <row r="509" s="19" customFormat="1" x14ac:dyDescent="0.2"/>
    <row r="510" s="19" customFormat="1" x14ac:dyDescent="0.2"/>
    <row r="511" s="19" customFormat="1" x14ac:dyDescent="0.2"/>
    <row r="512" s="19" customFormat="1" x14ac:dyDescent="0.2"/>
    <row r="513" s="19" customFormat="1" x14ac:dyDescent="0.2"/>
    <row r="514" s="19" customFormat="1" x14ac:dyDescent="0.2"/>
    <row r="515" s="19" customFormat="1" x14ac:dyDescent="0.2"/>
    <row r="516" s="19" customFormat="1" x14ac:dyDescent="0.2"/>
    <row r="517" s="19" customFormat="1" x14ac:dyDescent="0.2"/>
    <row r="518" s="19" customFormat="1" x14ac:dyDescent="0.2"/>
    <row r="519" s="19" customFormat="1" x14ac:dyDescent="0.2"/>
    <row r="520" s="19" customFormat="1" x14ac:dyDescent="0.2"/>
    <row r="521" s="19" customFormat="1" x14ac:dyDescent="0.2"/>
    <row r="522" s="19" customFormat="1" x14ac:dyDescent="0.2"/>
    <row r="523" s="19" customFormat="1" x14ac:dyDescent="0.2"/>
    <row r="524" s="19" customFormat="1" x14ac:dyDescent="0.2"/>
    <row r="525" s="19" customFormat="1" x14ac:dyDescent="0.2"/>
    <row r="526" s="19" customFormat="1" x14ac:dyDescent="0.2"/>
    <row r="527" s="19" customFormat="1" x14ac:dyDescent="0.2"/>
    <row r="528" s="19" customFormat="1" x14ac:dyDescent="0.2"/>
    <row r="529" s="19" customFormat="1" x14ac:dyDescent="0.2"/>
    <row r="530" s="19" customFormat="1" x14ac:dyDescent="0.2"/>
    <row r="531" s="19" customFormat="1" x14ac:dyDescent="0.2"/>
    <row r="532" s="19" customFormat="1" x14ac:dyDescent="0.2"/>
    <row r="533" s="19" customFormat="1" x14ac:dyDescent="0.2"/>
    <row r="534" s="19" customFormat="1" x14ac:dyDescent="0.2"/>
    <row r="535" s="19" customFormat="1" x14ac:dyDescent="0.2"/>
    <row r="536" s="19" customFormat="1" x14ac:dyDescent="0.2"/>
    <row r="537" s="19" customFormat="1" x14ac:dyDescent="0.2"/>
    <row r="538" s="19" customFormat="1" x14ac:dyDescent="0.2"/>
    <row r="539" s="19" customFormat="1" x14ac:dyDescent="0.2"/>
    <row r="540" s="19" customFormat="1" x14ac:dyDescent="0.2"/>
    <row r="541" s="19" customFormat="1" x14ac:dyDescent="0.2"/>
    <row r="542" s="19" customFormat="1" x14ac:dyDescent="0.2"/>
    <row r="543" s="19" customFormat="1" x14ac:dyDescent="0.2"/>
    <row r="544" s="19" customFormat="1" x14ac:dyDescent="0.2"/>
    <row r="545" s="19" customFormat="1" x14ac:dyDescent="0.2"/>
    <row r="546" s="19" customFormat="1" x14ac:dyDescent="0.2"/>
    <row r="547" s="19" customFormat="1" x14ac:dyDescent="0.2"/>
    <row r="548" s="19" customFormat="1" x14ac:dyDescent="0.2"/>
    <row r="549" s="19" customFormat="1" x14ac:dyDescent="0.2"/>
    <row r="550" s="19" customFormat="1" x14ac:dyDescent="0.2"/>
    <row r="551" s="19" customFormat="1" x14ac:dyDescent="0.2"/>
    <row r="552" s="19" customFormat="1" x14ac:dyDescent="0.2"/>
    <row r="553" s="19" customFormat="1" x14ac:dyDescent="0.2"/>
    <row r="554" s="19" customFormat="1" x14ac:dyDescent="0.2"/>
    <row r="555" s="19" customFormat="1" x14ac:dyDescent="0.2"/>
    <row r="556" s="19" customFormat="1" x14ac:dyDescent="0.2"/>
    <row r="557" s="19" customFormat="1" x14ac:dyDescent="0.2"/>
    <row r="558" s="19" customFormat="1" x14ac:dyDescent="0.2"/>
    <row r="559" s="19" customFormat="1" x14ac:dyDescent="0.2"/>
    <row r="560" s="19" customFormat="1" x14ac:dyDescent="0.2"/>
    <row r="561" s="19" customFormat="1" x14ac:dyDescent="0.2"/>
    <row r="562" s="19" customFormat="1" x14ac:dyDescent="0.2"/>
    <row r="563" s="19" customFormat="1" x14ac:dyDescent="0.2"/>
    <row r="564" s="19" customFormat="1" x14ac:dyDescent="0.2"/>
    <row r="565" s="19" customFormat="1" x14ac:dyDescent="0.2"/>
    <row r="566" s="19" customFormat="1" x14ac:dyDescent="0.2"/>
    <row r="567" s="19" customFormat="1" x14ac:dyDescent="0.2"/>
    <row r="568" s="19" customFormat="1" x14ac:dyDescent="0.2"/>
    <row r="569" s="19" customFormat="1" x14ac:dyDescent="0.2"/>
    <row r="570" s="19" customFormat="1" x14ac:dyDescent="0.2"/>
    <row r="571" s="19" customFormat="1" x14ac:dyDescent="0.2"/>
    <row r="572" s="19" customFormat="1" x14ac:dyDescent="0.2"/>
    <row r="573" s="19" customFormat="1" x14ac:dyDescent="0.2"/>
    <row r="574" s="19" customFormat="1" x14ac:dyDescent="0.2"/>
    <row r="575" s="19" customFormat="1" x14ac:dyDescent="0.2"/>
    <row r="576" s="19" customFormat="1" x14ac:dyDescent="0.2"/>
    <row r="577" s="19" customFormat="1" x14ac:dyDescent="0.2"/>
    <row r="578" s="19" customFormat="1" x14ac:dyDescent="0.2"/>
    <row r="579" s="19" customFormat="1" x14ac:dyDescent="0.2"/>
    <row r="580" s="19" customFormat="1" x14ac:dyDescent="0.2"/>
    <row r="581" s="19" customFormat="1" x14ac:dyDescent="0.2"/>
    <row r="582" s="19" customFormat="1" x14ac:dyDescent="0.2"/>
    <row r="583" s="19" customFormat="1" x14ac:dyDescent="0.2"/>
    <row r="584" s="19" customFormat="1" x14ac:dyDescent="0.2"/>
    <row r="585" s="19" customFormat="1" x14ac:dyDescent="0.2"/>
    <row r="586" s="19" customFormat="1" x14ac:dyDescent="0.2"/>
    <row r="587" s="19" customFormat="1" x14ac:dyDescent="0.2"/>
    <row r="588" s="19" customFormat="1" x14ac:dyDescent="0.2"/>
    <row r="589" s="19" customFormat="1" x14ac:dyDescent="0.2"/>
    <row r="590" s="19" customFormat="1" x14ac:dyDescent="0.2"/>
    <row r="591" s="19" customFormat="1" x14ac:dyDescent="0.2"/>
    <row r="592" s="19" customFormat="1" x14ac:dyDescent="0.2"/>
    <row r="593" s="19" customFormat="1" x14ac:dyDescent="0.2"/>
    <row r="594" s="19" customFormat="1" x14ac:dyDescent="0.2"/>
    <row r="595" s="19" customFormat="1" x14ac:dyDescent="0.2"/>
    <row r="596" s="19" customFormat="1" x14ac:dyDescent="0.2"/>
    <row r="597" s="19" customFormat="1" x14ac:dyDescent="0.2"/>
    <row r="598" s="19" customFormat="1" x14ac:dyDescent="0.2"/>
    <row r="599" s="19" customFormat="1" x14ac:dyDescent="0.2"/>
    <row r="600" s="19" customFormat="1" x14ac:dyDescent="0.2"/>
    <row r="601" s="19" customFormat="1" x14ac:dyDescent="0.2"/>
    <row r="602" s="19" customFormat="1" x14ac:dyDescent="0.2"/>
    <row r="603" s="19" customFormat="1" x14ac:dyDescent="0.2"/>
    <row r="604" s="19" customFormat="1" x14ac:dyDescent="0.2"/>
    <row r="605" s="19" customFormat="1" x14ac:dyDescent="0.2"/>
    <row r="606" s="19" customFormat="1" x14ac:dyDescent="0.2"/>
    <row r="607" s="19" customFormat="1" x14ac:dyDescent="0.2"/>
    <row r="608" s="19" customFormat="1" x14ac:dyDescent="0.2"/>
    <row r="609" s="19" customFormat="1" x14ac:dyDescent="0.2"/>
    <row r="610" s="19" customFormat="1" x14ac:dyDescent="0.2"/>
    <row r="611" s="19" customFormat="1" x14ac:dyDescent="0.2"/>
    <row r="612" s="19" customFormat="1" x14ac:dyDescent="0.2"/>
    <row r="613" s="19" customFormat="1" x14ac:dyDescent="0.2"/>
    <row r="614" s="19" customFormat="1" x14ac:dyDescent="0.2"/>
    <row r="615" s="19" customFormat="1" x14ac:dyDescent="0.2"/>
    <row r="616" s="19" customFormat="1" x14ac:dyDescent="0.2"/>
    <row r="617" s="19" customFormat="1" x14ac:dyDescent="0.2"/>
    <row r="618" s="19" customFormat="1" x14ac:dyDescent="0.2"/>
    <row r="619" s="19" customFormat="1" x14ac:dyDescent="0.2"/>
    <row r="620" s="19" customFormat="1" x14ac:dyDescent="0.2"/>
    <row r="621" s="19" customFormat="1" x14ac:dyDescent="0.2"/>
    <row r="622" s="19" customFormat="1" x14ac:dyDescent="0.2"/>
    <row r="623" s="19" customFormat="1" x14ac:dyDescent="0.2"/>
    <row r="624" s="19" customFormat="1" x14ac:dyDescent="0.2"/>
    <row r="625" s="19" customFormat="1" x14ac:dyDescent="0.2"/>
    <row r="626" s="19" customFormat="1" x14ac:dyDescent="0.2"/>
    <row r="627" s="19" customFormat="1" x14ac:dyDescent="0.2"/>
    <row r="628" s="19" customFormat="1" x14ac:dyDescent="0.2"/>
    <row r="629" s="19" customFormat="1" x14ac:dyDescent="0.2"/>
    <row r="630" s="19" customFormat="1" x14ac:dyDescent="0.2"/>
    <row r="631" s="19" customFormat="1" x14ac:dyDescent="0.2"/>
    <row r="632" s="19" customFormat="1" x14ac:dyDescent="0.2"/>
    <row r="633" s="19" customFormat="1" x14ac:dyDescent="0.2"/>
    <row r="634" s="19" customFormat="1" x14ac:dyDescent="0.2"/>
    <row r="635" s="19" customFormat="1" x14ac:dyDescent="0.2"/>
    <row r="636" s="19" customFormat="1" x14ac:dyDescent="0.2"/>
    <row r="637" s="19" customFormat="1" x14ac:dyDescent="0.2"/>
    <row r="638" s="19" customFormat="1" x14ac:dyDescent="0.2"/>
    <row r="639" s="19" customFormat="1" x14ac:dyDescent="0.2"/>
    <row r="640" s="19" customFormat="1" x14ac:dyDescent="0.2"/>
    <row r="641" s="19" customFormat="1" x14ac:dyDescent="0.2"/>
    <row r="642" s="19" customFormat="1" x14ac:dyDescent="0.2"/>
    <row r="643" s="19" customFormat="1" x14ac:dyDescent="0.2"/>
    <row r="644" s="19" customFormat="1" x14ac:dyDescent="0.2"/>
    <row r="645" s="19" customFormat="1" x14ac:dyDescent="0.2"/>
    <row r="646" s="19" customFormat="1" x14ac:dyDescent="0.2"/>
    <row r="647" s="19" customFormat="1" x14ac:dyDescent="0.2"/>
    <row r="648" s="19" customFormat="1" x14ac:dyDescent="0.2"/>
    <row r="649" s="19" customFormat="1" x14ac:dyDescent="0.2"/>
    <row r="650" s="19" customFormat="1" x14ac:dyDescent="0.2"/>
    <row r="651" s="19" customFormat="1" x14ac:dyDescent="0.2"/>
    <row r="652" s="19" customFormat="1" x14ac:dyDescent="0.2"/>
    <row r="653" s="19" customFormat="1" x14ac:dyDescent="0.2"/>
    <row r="654" s="19" customFormat="1" x14ac:dyDescent="0.2"/>
    <row r="655" s="19" customFormat="1" x14ac:dyDescent="0.2"/>
    <row r="656" s="19" customFormat="1" x14ac:dyDescent="0.2"/>
    <row r="657" s="19" customFormat="1" x14ac:dyDescent="0.2"/>
    <row r="658" s="19" customFormat="1" x14ac:dyDescent="0.2"/>
    <row r="659" s="19" customFormat="1" x14ac:dyDescent="0.2"/>
    <row r="660" s="19" customFormat="1" x14ac:dyDescent="0.2"/>
    <row r="661" s="19" customFormat="1" x14ac:dyDescent="0.2"/>
    <row r="662" s="19" customFormat="1" x14ac:dyDescent="0.2"/>
    <row r="663" s="19" customFormat="1" x14ac:dyDescent="0.2"/>
    <row r="664" s="19" customFormat="1" x14ac:dyDescent="0.2"/>
    <row r="665" s="19" customFormat="1" x14ac:dyDescent="0.2"/>
    <row r="666" s="19" customFormat="1" x14ac:dyDescent="0.2"/>
    <row r="667" s="19" customFormat="1" x14ac:dyDescent="0.2"/>
    <row r="668" s="19" customFormat="1" x14ac:dyDescent="0.2"/>
    <row r="669" s="19" customFormat="1" x14ac:dyDescent="0.2"/>
    <row r="670" s="19" customFormat="1" x14ac:dyDescent="0.2"/>
    <row r="671" s="19" customFormat="1" x14ac:dyDescent="0.2"/>
    <row r="672" s="19" customFormat="1" x14ac:dyDescent="0.2"/>
    <row r="673" s="19" customFormat="1" x14ac:dyDescent="0.2"/>
    <row r="674" s="19" customFormat="1" x14ac:dyDescent="0.2"/>
    <row r="675" s="19" customFormat="1" x14ac:dyDescent="0.2"/>
    <row r="676" s="19" customFormat="1" x14ac:dyDescent="0.2"/>
    <row r="677" s="19" customFormat="1" x14ac:dyDescent="0.2"/>
    <row r="678" s="19" customFormat="1" x14ac:dyDescent="0.2"/>
    <row r="679" s="19" customFormat="1" x14ac:dyDescent="0.2"/>
    <row r="680" s="19" customFormat="1" x14ac:dyDescent="0.2"/>
    <row r="681" s="19" customFormat="1" x14ac:dyDescent="0.2"/>
    <row r="682" s="19" customFormat="1" x14ac:dyDescent="0.2"/>
    <row r="683" s="19" customFormat="1" x14ac:dyDescent="0.2"/>
    <row r="684" s="19" customFormat="1" x14ac:dyDescent="0.2"/>
    <row r="685" s="19" customFormat="1" x14ac:dyDescent="0.2"/>
    <row r="686" s="19" customFormat="1" x14ac:dyDescent="0.2"/>
    <row r="687" s="19" customFormat="1" x14ac:dyDescent="0.2"/>
    <row r="688" s="19" customFormat="1" x14ac:dyDescent="0.2"/>
    <row r="689" s="19" customFormat="1" x14ac:dyDescent="0.2"/>
    <row r="690" s="19" customFormat="1" x14ac:dyDescent="0.2"/>
    <row r="691" s="19" customFormat="1" x14ac:dyDescent="0.2"/>
    <row r="692" s="19" customFormat="1" x14ac:dyDescent="0.2"/>
    <row r="693" s="19" customFormat="1" x14ac:dyDescent="0.2"/>
    <row r="694" s="19" customFormat="1" x14ac:dyDescent="0.2"/>
    <row r="695" s="19" customFormat="1" x14ac:dyDescent="0.2"/>
    <row r="696" s="19" customFormat="1" x14ac:dyDescent="0.2"/>
    <row r="697" s="19" customFormat="1" x14ac:dyDescent="0.2"/>
    <row r="698" s="19" customFormat="1" x14ac:dyDescent="0.2"/>
    <row r="699" s="19" customFormat="1" x14ac:dyDescent="0.2"/>
    <row r="700" s="19" customFormat="1" x14ac:dyDescent="0.2"/>
    <row r="701" s="19" customFormat="1" x14ac:dyDescent="0.2"/>
    <row r="702" s="19" customFormat="1" x14ac:dyDescent="0.2"/>
    <row r="703" s="19" customFormat="1" x14ac:dyDescent="0.2"/>
    <row r="704" s="19" customFormat="1" x14ac:dyDescent="0.2"/>
    <row r="705" s="19" customFormat="1" x14ac:dyDescent="0.2"/>
    <row r="706" s="19" customFormat="1" x14ac:dyDescent="0.2"/>
    <row r="707" s="19" customFormat="1" x14ac:dyDescent="0.2"/>
    <row r="708" s="19" customFormat="1" x14ac:dyDescent="0.2"/>
    <row r="709" s="19" customFormat="1" x14ac:dyDescent="0.2"/>
    <row r="710" s="19" customFormat="1" x14ac:dyDescent="0.2"/>
    <row r="711" s="19" customFormat="1" x14ac:dyDescent="0.2"/>
    <row r="712" s="19" customFormat="1" x14ac:dyDescent="0.2"/>
    <row r="713" s="19" customFormat="1" x14ac:dyDescent="0.2"/>
    <row r="714" s="19" customFormat="1" x14ac:dyDescent="0.2"/>
    <row r="715" s="19" customFormat="1" x14ac:dyDescent="0.2"/>
    <row r="716" s="19" customFormat="1" x14ac:dyDescent="0.2"/>
    <row r="717" s="19" customFormat="1" x14ac:dyDescent="0.2"/>
    <row r="718" s="19" customFormat="1" x14ac:dyDescent="0.2"/>
    <row r="719" s="19" customFormat="1" x14ac:dyDescent="0.2"/>
    <row r="720" s="19" customFormat="1" x14ac:dyDescent="0.2"/>
    <row r="721" s="19" customFormat="1" x14ac:dyDescent="0.2"/>
    <row r="722" s="19" customFormat="1" x14ac:dyDescent="0.2"/>
    <row r="723" s="19" customFormat="1" x14ac:dyDescent="0.2"/>
    <row r="724" s="19" customFormat="1" x14ac:dyDescent="0.2"/>
    <row r="725" s="19" customFormat="1" x14ac:dyDescent="0.2"/>
    <row r="726" s="19" customFormat="1" x14ac:dyDescent="0.2"/>
    <row r="727" s="19" customFormat="1" x14ac:dyDescent="0.2"/>
    <row r="728" s="19" customFormat="1" x14ac:dyDescent="0.2"/>
    <row r="729" s="19" customFormat="1" x14ac:dyDescent="0.2"/>
    <row r="730" s="19" customFormat="1" x14ac:dyDescent="0.2"/>
    <row r="731" s="19" customFormat="1" x14ac:dyDescent="0.2"/>
    <row r="732" s="19" customFormat="1" x14ac:dyDescent="0.2"/>
    <row r="733" s="19" customFormat="1" x14ac:dyDescent="0.2"/>
    <row r="734" s="19" customFormat="1" x14ac:dyDescent="0.2"/>
    <row r="735" s="19" customFormat="1" x14ac:dyDescent="0.2"/>
    <row r="736" s="19" customFormat="1" x14ac:dyDescent="0.2"/>
    <row r="737" s="19" customFormat="1" x14ac:dyDescent="0.2"/>
    <row r="738" s="19" customFormat="1" x14ac:dyDescent="0.2"/>
    <row r="739" s="19" customFormat="1" x14ac:dyDescent="0.2"/>
    <row r="740" s="19" customFormat="1" x14ac:dyDescent="0.2"/>
    <row r="741" s="19" customFormat="1" x14ac:dyDescent="0.2"/>
    <row r="742" s="19" customFormat="1" x14ac:dyDescent="0.2"/>
    <row r="743" s="19" customFormat="1" x14ac:dyDescent="0.2"/>
    <row r="744" s="19" customFormat="1" x14ac:dyDescent="0.2"/>
    <row r="745" s="19" customFormat="1" x14ac:dyDescent="0.2"/>
    <row r="746" s="19" customFormat="1" x14ac:dyDescent="0.2"/>
    <row r="747" s="19" customFormat="1" x14ac:dyDescent="0.2"/>
    <row r="748" s="19" customFormat="1" x14ac:dyDescent="0.2"/>
    <row r="749" s="19" customFormat="1" x14ac:dyDescent="0.2"/>
    <row r="750" s="19" customFormat="1" x14ac:dyDescent="0.2"/>
    <row r="751" s="19" customFormat="1" x14ac:dyDescent="0.2"/>
    <row r="752" s="19" customFormat="1" x14ac:dyDescent="0.2"/>
    <row r="753" s="19" customFormat="1" x14ac:dyDescent="0.2"/>
    <row r="754" s="19" customFormat="1" x14ac:dyDescent="0.2"/>
    <row r="755" s="19" customFormat="1" x14ac:dyDescent="0.2"/>
    <row r="756" s="19" customFormat="1" x14ac:dyDescent="0.2"/>
    <row r="757" s="19" customFormat="1" x14ac:dyDescent="0.2"/>
    <row r="758" s="19" customFormat="1" x14ac:dyDescent="0.2"/>
    <row r="759" s="19" customFormat="1" x14ac:dyDescent="0.2"/>
    <row r="760" s="19" customFormat="1" x14ac:dyDescent="0.2"/>
    <row r="761" s="19" customFormat="1" x14ac:dyDescent="0.2"/>
    <row r="762" s="19" customFormat="1" x14ac:dyDescent="0.2"/>
    <row r="763" s="19" customFormat="1" x14ac:dyDescent="0.2"/>
    <row r="764" s="19" customFormat="1" x14ac:dyDescent="0.2"/>
    <row r="765" s="19" customFormat="1" x14ac:dyDescent="0.2"/>
    <row r="766" s="19" customFormat="1" x14ac:dyDescent="0.2"/>
    <row r="767" s="19" customFormat="1" x14ac:dyDescent="0.2"/>
    <row r="768" s="19" customFormat="1" x14ac:dyDescent="0.2"/>
    <row r="769" s="19" customFormat="1" x14ac:dyDescent="0.2"/>
    <row r="770" s="19" customFormat="1" x14ac:dyDescent="0.2"/>
    <row r="771" s="19" customFormat="1" x14ac:dyDescent="0.2"/>
    <row r="772" s="19" customFormat="1" x14ac:dyDescent="0.2"/>
    <row r="773" s="19" customFormat="1" x14ac:dyDescent="0.2"/>
    <row r="774" s="19" customFormat="1" x14ac:dyDescent="0.2"/>
    <row r="775" s="19" customFormat="1" x14ac:dyDescent="0.2"/>
    <row r="776" s="19" customFormat="1" x14ac:dyDescent="0.2"/>
    <row r="777" s="19" customFormat="1" x14ac:dyDescent="0.2"/>
    <row r="778" s="19" customFormat="1" x14ac:dyDescent="0.2"/>
    <row r="779" s="19" customFormat="1" x14ac:dyDescent="0.2"/>
    <row r="780" s="19" customFormat="1" x14ac:dyDescent="0.2"/>
    <row r="781" s="19" customFormat="1" x14ac:dyDescent="0.2"/>
    <row r="782" s="19" customFormat="1" x14ac:dyDescent="0.2"/>
    <row r="783" s="19" customFormat="1" x14ac:dyDescent="0.2"/>
    <row r="784" s="19" customFormat="1" x14ac:dyDescent="0.2"/>
    <row r="785" s="19" customFormat="1" x14ac:dyDescent="0.2"/>
    <row r="786" s="19" customFormat="1" x14ac:dyDescent="0.2"/>
    <row r="787" s="19" customFormat="1" x14ac:dyDescent="0.2"/>
    <row r="788" s="19" customFormat="1" x14ac:dyDescent="0.2"/>
    <row r="789" s="19" customFormat="1" x14ac:dyDescent="0.2"/>
    <row r="790" s="19" customFormat="1" x14ac:dyDescent="0.2"/>
    <row r="791" s="19" customFormat="1" x14ac:dyDescent="0.2"/>
    <row r="792" s="19" customFormat="1" x14ac:dyDescent="0.2"/>
    <row r="793" s="19" customFormat="1" x14ac:dyDescent="0.2"/>
    <row r="794" s="19" customFormat="1" x14ac:dyDescent="0.2"/>
    <row r="795" s="19" customFormat="1" x14ac:dyDescent="0.2"/>
    <row r="796" s="19" customFormat="1" x14ac:dyDescent="0.2"/>
    <row r="797" s="19" customFormat="1" x14ac:dyDescent="0.2"/>
    <row r="798" s="19" customFormat="1" x14ac:dyDescent="0.2"/>
    <row r="799" s="19" customFormat="1" x14ac:dyDescent="0.2"/>
    <row r="800" s="19" customFormat="1" x14ac:dyDescent="0.2"/>
    <row r="801" s="19" customFormat="1" x14ac:dyDescent="0.2"/>
    <row r="802" s="19" customFormat="1" x14ac:dyDescent="0.2"/>
    <row r="803" s="19" customFormat="1" x14ac:dyDescent="0.2"/>
    <row r="804" s="19" customFormat="1" x14ac:dyDescent="0.2"/>
    <row r="805" s="19" customFormat="1" x14ac:dyDescent="0.2"/>
    <row r="806" s="19" customFormat="1" x14ac:dyDescent="0.2"/>
    <row r="807" s="19" customFormat="1" x14ac:dyDescent="0.2"/>
    <row r="808" s="19" customFormat="1" x14ac:dyDescent="0.2"/>
    <row r="809" s="19" customFormat="1" x14ac:dyDescent="0.2"/>
    <row r="810" s="19" customFormat="1" x14ac:dyDescent="0.2"/>
    <row r="811" s="19" customFormat="1" x14ac:dyDescent="0.2"/>
    <row r="812" s="19" customFormat="1" x14ac:dyDescent="0.2"/>
    <row r="813" s="19" customFormat="1" x14ac:dyDescent="0.2"/>
    <row r="814" s="19" customFormat="1" x14ac:dyDescent="0.2"/>
    <row r="815" s="19" customFormat="1" x14ac:dyDescent="0.2"/>
    <row r="816" s="19" customFormat="1" x14ac:dyDescent="0.2"/>
    <row r="817" s="19" customFormat="1" x14ac:dyDescent="0.2"/>
    <row r="818" s="19" customFormat="1" x14ac:dyDescent="0.2"/>
    <row r="819" s="19" customFormat="1" x14ac:dyDescent="0.2"/>
    <row r="820" s="19" customFormat="1" x14ac:dyDescent="0.2"/>
    <row r="821" s="19" customFormat="1" x14ac:dyDescent="0.2"/>
    <row r="822" s="19" customFormat="1" x14ac:dyDescent="0.2"/>
    <row r="823" s="19" customFormat="1" x14ac:dyDescent="0.2"/>
    <row r="824" s="19" customFormat="1" x14ac:dyDescent="0.2"/>
    <row r="825" s="19" customFormat="1" x14ac:dyDescent="0.2"/>
    <row r="826" s="19" customFormat="1" x14ac:dyDescent="0.2"/>
    <row r="827" s="19" customFormat="1" x14ac:dyDescent="0.2"/>
    <row r="828" s="19" customFormat="1" x14ac:dyDescent="0.2"/>
    <row r="829" s="19" customFormat="1" x14ac:dyDescent="0.2"/>
    <row r="830" s="19" customFormat="1" x14ac:dyDescent="0.2"/>
    <row r="831" s="19" customFormat="1" x14ac:dyDescent="0.2"/>
    <row r="832" s="19" customFormat="1" x14ac:dyDescent="0.2"/>
    <row r="833" s="19" customFormat="1" x14ac:dyDescent="0.2"/>
    <row r="834" s="19" customFormat="1" x14ac:dyDescent="0.2"/>
    <row r="835" s="19" customFormat="1" x14ac:dyDescent="0.2"/>
    <row r="836" s="19" customFormat="1" x14ac:dyDescent="0.2"/>
    <row r="837" s="19" customFormat="1" x14ac:dyDescent="0.2"/>
    <row r="838" s="19" customFormat="1" x14ac:dyDescent="0.2"/>
    <row r="839" s="19" customFormat="1" x14ac:dyDescent="0.2"/>
    <row r="840" s="19" customFormat="1" x14ac:dyDescent="0.2"/>
    <row r="841" s="19" customFormat="1" x14ac:dyDescent="0.2"/>
    <row r="842" s="19" customFormat="1" x14ac:dyDescent="0.2"/>
    <row r="843" s="19" customFormat="1" x14ac:dyDescent="0.2"/>
    <row r="844" s="19" customFormat="1" x14ac:dyDescent="0.2"/>
    <row r="845" s="19" customFormat="1" x14ac:dyDescent="0.2"/>
    <row r="846" s="19" customFormat="1" x14ac:dyDescent="0.2"/>
    <row r="847" s="19" customFormat="1" x14ac:dyDescent="0.2"/>
    <row r="848" s="19" customFormat="1" x14ac:dyDescent="0.2"/>
    <row r="849" s="19" customFormat="1" x14ac:dyDescent="0.2"/>
    <row r="850" s="19" customFormat="1" x14ac:dyDescent="0.2"/>
    <row r="851" s="19" customFormat="1" x14ac:dyDescent="0.2"/>
    <row r="852" s="19" customFormat="1" x14ac:dyDescent="0.2"/>
    <row r="853" s="19" customFormat="1" x14ac:dyDescent="0.2"/>
    <row r="854" s="19" customFormat="1" x14ac:dyDescent="0.2"/>
    <row r="855" s="19" customFormat="1" x14ac:dyDescent="0.2"/>
    <row r="856" s="19" customFormat="1" x14ac:dyDescent="0.2"/>
    <row r="857" s="19" customFormat="1" x14ac:dyDescent="0.2"/>
    <row r="858" s="19" customFormat="1" x14ac:dyDescent="0.2"/>
    <row r="859" s="19" customFormat="1" x14ac:dyDescent="0.2"/>
    <row r="860" s="19" customFormat="1" x14ac:dyDescent="0.2"/>
    <row r="861" s="19" customFormat="1" x14ac:dyDescent="0.2"/>
    <row r="862" s="19" customFormat="1" x14ac:dyDescent="0.2"/>
    <row r="863" s="19" customFormat="1" x14ac:dyDescent="0.2"/>
    <row r="864" s="19" customFormat="1" x14ac:dyDescent="0.2"/>
    <row r="865" s="19" customFormat="1" x14ac:dyDescent="0.2"/>
    <row r="866" s="19" customFormat="1" x14ac:dyDescent="0.2"/>
    <row r="867" s="19" customFormat="1" x14ac:dyDescent="0.2"/>
    <row r="868" s="19" customFormat="1" x14ac:dyDescent="0.2"/>
    <row r="869" s="19" customFormat="1" x14ac:dyDescent="0.2"/>
    <row r="870" s="19" customFormat="1" x14ac:dyDescent="0.2"/>
    <row r="871" s="19" customFormat="1" x14ac:dyDescent="0.2"/>
    <row r="872" s="19" customFormat="1" x14ac:dyDescent="0.2"/>
    <row r="873" s="19" customFormat="1" x14ac:dyDescent="0.2"/>
    <row r="874" s="19" customFormat="1" x14ac:dyDescent="0.2"/>
    <row r="875" s="19" customFormat="1" x14ac:dyDescent="0.2"/>
    <row r="876" s="19" customFormat="1" x14ac:dyDescent="0.2"/>
    <row r="877" s="19" customFormat="1" x14ac:dyDescent="0.2"/>
    <row r="878" s="19" customFormat="1" x14ac:dyDescent="0.2"/>
    <row r="879" s="19" customFormat="1" x14ac:dyDescent="0.2"/>
    <row r="880" s="19" customFormat="1" x14ac:dyDescent="0.2"/>
    <row r="881" spans="3:3" s="19" customFormat="1" x14ac:dyDescent="0.2"/>
    <row r="882" spans="3:3" s="19" customFormat="1" x14ac:dyDescent="0.2"/>
    <row r="883" spans="3:3" s="19" customFormat="1" x14ac:dyDescent="0.2"/>
    <row r="884" spans="3:3" s="19" customFormat="1" x14ac:dyDescent="0.2"/>
    <row r="885" spans="3:3" x14ac:dyDescent="0.2">
      <c r="C885" s="19"/>
    </row>
    <row r="886" spans="3:3" x14ac:dyDescent="0.2">
      <c r="C886" s="19"/>
    </row>
    <row r="887" spans="3:3" x14ac:dyDescent="0.2">
      <c r="C887" s="19"/>
    </row>
    <row r="888" spans="3:3" x14ac:dyDescent="0.2">
      <c r="C888" s="19"/>
    </row>
    <row r="889" spans="3:3" x14ac:dyDescent="0.2">
      <c r="C889" s="19"/>
    </row>
    <row r="890" spans="3:3" x14ac:dyDescent="0.2">
      <c r="C890" s="19"/>
    </row>
    <row r="891" spans="3:3" x14ac:dyDescent="0.2">
      <c r="C891" s="19"/>
    </row>
    <row r="892" spans="3:3" x14ac:dyDescent="0.2">
      <c r="C892" s="19"/>
    </row>
    <row r="893" spans="3:3" x14ac:dyDescent="0.2">
      <c r="C893" s="19"/>
    </row>
    <row r="894" spans="3:3" x14ac:dyDescent="0.2">
      <c r="C894" s="19"/>
    </row>
    <row r="895" spans="3:3" x14ac:dyDescent="0.2">
      <c r="C895" s="19"/>
    </row>
    <row r="896" spans="3:3" x14ac:dyDescent="0.2">
      <c r="C896" s="19"/>
    </row>
    <row r="897" spans="3:3" x14ac:dyDescent="0.2">
      <c r="C897" s="19"/>
    </row>
    <row r="898" spans="3:3" x14ac:dyDescent="0.2">
      <c r="C898" s="19"/>
    </row>
    <row r="899" spans="3:3" x14ac:dyDescent="0.2">
      <c r="C899" s="19"/>
    </row>
    <row r="900" spans="3:3" x14ac:dyDescent="0.2">
      <c r="C900" s="19"/>
    </row>
    <row r="901" spans="3:3" x14ac:dyDescent="0.2">
      <c r="C901" s="19"/>
    </row>
    <row r="902" spans="3:3" x14ac:dyDescent="0.2">
      <c r="C902" s="19"/>
    </row>
    <row r="903" spans="3:3" x14ac:dyDescent="0.2">
      <c r="C903" s="19"/>
    </row>
    <row r="904" spans="3:3" x14ac:dyDescent="0.2">
      <c r="C904" s="19"/>
    </row>
    <row r="905" spans="3:3" x14ac:dyDescent="0.2">
      <c r="C905" s="19"/>
    </row>
    <row r="906" spans="3:3" x14ac:dyDescent="0.2">
      <c r="C906" s="19"/>
    </row>
    <row r="907" spans="3:3" x14ac:dyDescent="0.2">
      <c r="C907" s="19"/>
    </row>
    <row r="908" spans="3:3" x14ac:dyDescent="0.2">
      <c r="C908" s="19"/>
    </row>
    <row r="909" spans="3:3" x14ac:dyDescent="0.2">
      <c r="C909" s="19"/>
    </row>
    <row r="910" spans="3:3" x14ac:dyDescent="0.2">
      <c r="C910" s="19"/>
    </row>
    <row r="911" spans="3:3" x14ac:dyDescent="0.2">
      <c r="C911" s="19"/>
    </row>
    <row r="912" spans="3:3" x14ac:dyDescent="0.2">
      <c r="C912" s="19"/>
    </row>
    <row r="913" spans="3:3" x14ac:dyDescent="0.2">
      <c r="C913" s="19"/>
    </row>
    <row r="914" spans="3:3" x14ac:dyDescent="0.2">
      <c r="C914" s="19"/>
    </row>
    <row r="915" spans="3:3" x14ac:dyDescent="0.2">
      <c r="C915" s="19"/>
    </row>
    <row r="916" spans="3:3" x14ac:dyDescent="0.2">
      <c r="C916" s="19"/>
    </row>
    <row r="917" spans="3:3" x14ac:dyDescent="0.2">
      <c r="C917" s="19"/>
    </row>
    <row r="918" spans="3:3" x14ac:dyDescent="0.2">
      <c r="C918" s="19"/>
    </row>
    <row r="919" spans="3:3" x14ac:dyDescent="0.2">
      <c r="C919" s="19"/>
    </row>
    <row r="920" spans="3:3" x14ac:dyDescent="0.2">
      <c r="C920" s="19"/>
    </row>
    <row r="921" spans="3:3" x14ac:dyDescent="0.2">
      <c r="C921" s="19"/>
    </row>
    <row r="922" spans="3:3" x14ac:dyDescent="0.2">
      <c r="C922" s="19"/>
    </row>
    <row r="923" spans="3:3" x14ac:dyDescent="0.2">
      <c r="C923" s="19"/>
    </row>
    <row r="924" spans="3:3" x14ac:dyDescent="0.2">
      <c r="C924" s="19"/>
    </row>
    <row r="925" spans="3:3" x14ac:dyDescent="0.2">
      <c r="C925" s="19"/>
    </row>
    <row r="926" spans="3:3" x14ac:dyDescent="0.2">
      <c r="C926" s="19"/>
    </row>
    <row r="927" spans="3:3" x14ac:dyDescent="0.2">
      <c r="C927" s="19"/>
    </row>
    <row r="928" spans="3:3" x14ac:dyDescent="0.2">
      <c r="C928" s="19"/>
    </row>
    <row r="929" spans="3:3" x14ac:dyDescent="0.2">
      <c r="C929" s="19"/>
    </row>
    <row r="930" spans="3:3" x14ac:dyDescent="0.2">
      <c r="C930" s="19"/>
    </row>
    <row r="931" spans="3:3" x14ac:dyDescent="0.2">
      <c r="C931" s="19"/>
    </row>
    <row r="932" spans="3:3" x14ac:dyDescent="0.2">
      <c r="C932" s="19"/>
    </row>
    <row r="933" spans="3:3" x14ac:dyDescent="0.2">
      <c r="C933" s="19"/>
    </row>
    <row r="934" spans="3:3" x14ac:dyDescent="0.2">
      <c r="C934" s="19"/>
    </row>
    <row r="935" spans="3:3" x14ac:dyDescent="0.2">
      <c r="C935" s="19"/>
    </row>
    <row r="936" spans="3:3" x14ac:dyDescent="0.2">
      <c r="C936" s="19"/>
    </row>
    <row r="937" spans="3:3" x14ac:dyDescent="0.2">
      <c r="C937" s="19"/>
    </row>
    <row r="938" spans="3:3" x14ac:dyDescent="0.2">
      <c r="C938" s="19"/>
    </row>
    <row r="939" spans="3:3" x14ac:dyDescent="0.2">
      <c r="C939" s="19"/>
    </row>
    <row r="940" spans="3:3" x14ac:dyDescent="0.2">
      <c r="C940" s="19"/>
    </row>
    <row r="941" spans="3:3" x14ac:dyDescent="0.2">
      <c r="C941" s="19"/>
    </row>
    <row r="942" spans="3:3" x14ac:dyDescent="0.2">
      <c r="C942" s="19"/>
    </row>
    <row r="943" spans="3:3" x14ac:dyDescent="0.2">
      <c r="C943" s="19"/>
    </row>
    <row r="944" spans="3:3" x14ac:dyDescent="0.2">
      <c r="C944" s="19"/>
    </row>
    <row r="945" spans="3:3" x14ac:dyDescent="0.2">
      <c r="C945" s="19"/>
    </row>
    <row r="946" spans="3:3" x14ac:dyDescent="0.2">
      <c r="C946" s="19"/>
    </row>
    <row r="947" spans="3:3" x14ac:dyDescent="0.2">
      <c r="C947" s="19"/>
    </row>
    <row r="948" spans="3:3" x14ac:dyDescent="0.2">
      <c r="C948" s="19"/>
    </row>
    <row r="949" spans="3:3" x14ac:dyDescent="0.2">
      <c r="C949" s="19"/>
    </row>
    <row r="950" spans="3:3" x14ac:dyDescent="0.2">
      <c r="C950" s="19"/>
    </row>
    <row r="951" spans="3:3" x14ac:dyDescent="0.2">
      <c r="C951" s="19"/>
    </row>
    <row r="952" spans="3:3" x14ac:dyDescent="0.2">
      <c r="C952" s="19"/>
    </row>
    <row r="953" spans="3:3" x14ac:dyDescent="0.2">
      <c r="C953" s="19"/>
    </row>
    <row r="954" spans="3:3" x14ac:dyDescent="0.2">
      <c r="C954" s="19"/>
    </row>
    <row r="955" spans="3:3" x14ac:dyDescent="0.2">
      <c r="C955" s="19"/>
    </row>
    <row r="956" spans="3:3" x14ac:dyDescent="0.2">
      <c r="C956" s="19"/>
    </row>
    <row r="957" spans="3:3" x14ac:dyDescent="0.2">
      <c r="C957" s="19"/>
    </row>
    <row r="958" spans="3:3" x14ac:dyDescent="0.2">
      <c r="C958" s="19"/>
    </row>
    <row r="959" spans="3:3" x14ac:dyDescent="0.2">
      <c r="C959" s="19"/>
    </row>
    <row r="960" spans="3:3" x14ac:dyDescent="0.2">
      <c r="C960" s="19"/>
    </row>
    <row r="961" spans="3:3" x14ac:dyDescent="0.2">
      <c r="C961" s="19"/>
    </row>
    <row r="962" spans="3:3" x14ac:dyDescent="0.2">
      <c r="C962" s="19"/>
    </row>
    <row r="963" spans="3:3" x14ac:dyDescent="0.2">
      <c r="C963" s="19"/>
    </row>
    <row r="964" spans="3:3" x14ac:dyDescent="0.2">
      <c r="C964" s="19"/>
    </row>
    <row r="965" spans="3:3" x14ac:dyDescent="0.2">
      <c r="C965" s="19"/>
    </row>
    <row r="966" spans="3:3" x14ac:dyDescent="0.2">
      <c r="C966" s="19"/>
    </row>
    <row r="967" spans="3:3" x14ac:dyDescent="0.2">
      <c r="C967" s="19"/>
    </row>
    <row r="968" spans="3:3" x14ac:dyDescent="0.2">
      <c r="C968" s="19"/>
    </row>
    <row r="969" spans="3:3" x14ac:dyDescent="0.2">
      <c r="C969" s="19"/>
    </row>
    <row r="970" spans="3:3" x14ac:dyDescent="0.2">
      <c r="C970" s="19"/>
    </row>
    <row r="971" spans="3:3" x14ac:dyDescent="0.2">
      <c r="C971" s="19"/>
    </row>
    <row r="972" spans="3:3" x14ac:dyDescent="0.2">
      <c r="C972" s="19"/>
    </row>
    <row r="973" spans="3:3" x14ac:dyDescent="0.2">
      <c r="C973" s="19"/>
    </row>
    <row r="974" spans="3:3" x14ac:dyDescent="0.2">
      <c r="C974" s="19"/>
    </row>
    <row r="975" spans="3:3" x14ac:dyDescent="0.2">
      <c r="C975" s="19"/>
    </row>
    <row r="976" spans="3:3" x14ac:dyDescent="0.2">
      <c r="C976" s="19"/>
    </row>
    <row r="977" spans="3:3" x14ac:dyDescent="0.2">
      <c r="C977" s="19"/>
    </row>
    <row r="978" spans="3:3" x14ac:dyDescent="0.2">
      <c r="C978" s="19"/>
    </row>
    <row r="979" spans="3:3" x14ac:dyDescent="0.2">
      <c r="C979" s="19"/>
    </row>
    <row r="980" spans="3:3" x14ac:dyDescent="0.2">
      <c r="C980" s="19"/>
    </row>
    <row r="981" spans="3:3" x14ac:dyDescent="0.2">
      <c r="C981" s="19"/>
    </row>
    <row r="982" spans="3:3" x14ac:dyDescent="0.2">
      <c r="C982" s="19"/>
    </row>
    <row r="983" spans="3:3" x14ac:dyDescent="0.2">
      <c r="C983" s="19"/>
    </row>
    <row r="984" spans="3:3" x14ac:dyDescent="0.2">
      <c r="C984" s="19"/>
    </row>
    <row r="985" spans="3:3" x14ac:dyDescent="0.2">
      <c r="C985" s="19"/>
    </row>
    <row r="986" spans="3:3" x14ac:dyDescent="0.2">
      <c r="C986" s="19"/>
    </row>
    <row r="987" spans="3:3" x14ac:dyDescent="0.2">
      <c r="C987" s="19"/>
    </row>
    <row r="988" spans="3:3" x14ac:dyDescent="0.2">
      <c r="C988" s="19"/>
    </row>
    <row r="989" spans="3:3" x14ac:dyDescent="0.2">
      <c r="C989" s="19"/>
    </row>
    <row r="990" spans="3:3" x14ac:dyDescent="0.2">
      <c r="C990" s="19"/>
    </row>
    <row r="991" spans="3:3" x14ac:dyDescent="0.2">
      <c r="C991" s="19"/>
    </row>
    <row r="992" spans="3:3" x14ac:dyDescent="0.2">
      <c r="C992" s="19"/>
    </row>
    <row r="993" spans="3:3" x14ac:dyDescent="0.2">
      <c r="C993" s="19"/>
    </row>
    <row r="994" spans="3:3" x14ac:dyDescent="0.2">
      <c r="C994" s="19"/>
    </row>
    <row r="995" spans="3:3" x14ac:dyDescent="0.2">
      <c r="C995" s="19"/>
    </row>
    <row r="996" spans="3:3" x14ac:dyDescent="0.2">
      <c r="C996" s="19"/>
    </row>
    <row r="997" spans="3:3" x14ac:dyDescent="0.2">
      <c r="C997" s="19"/>
    </row>
    <row r="998" spans="3:3" x14ac:dyDescent="0.2">
      <c r="C998" s="19"/>
    </row>
    <row r="999" spans="3:3" x14ac:dyDescent="0.2">
      <c r="C999" s="19"/>
    </row>
    <row r="1000" spans="3:3" x14ac:dyDescent="0.2">
      <c r="C1000" s="19"/>
    </row>
    <row r="1001" spans="3:3" x14ac:dyDescent="0.2">
      <c r="C1001" s="19"/>
    </row>
    <row r="1002" spans="3:3" x14ac:dyDescent="0.2">
      <c r="C1002" s="19"/>
    </row>
    <row r="1003" spans="3:3" x14ac:dyDescent="0.2">
      <c r="C1003" s="19"/>
    </row>
    <row r="1004" spans="3:3" x14ac:dyDescent="0.2">
      <c r="C1004" s="19"/>
    </row>
    <row r="1005" spans="3:3" x14ac:dyDescent="0.2">
      <c r="C1005" s="19"/>
    </row>
    <row r="1006" spans="3:3" x14ac:dyDescent="0.2">
      <c r="C1006" s="19"/>
    </row>
    <row r="1007" spans="3:3" x14ac:dyDescent="0.2">
      <c r="C1007" s="19"/>
    </row>
    <row r="1008" spans="3:3" x14ac:dyDescent="0.2">
      <c r="C1008" s="19"/>
    </row>
    <row r="1009" spans="3:3" x14ac:dyDescent="0.2">
      <c r="C1009" s="19"/>
    </row>
    <row r="1010" spans="3:3" x14ac:dyDescent="0.2">
      <c r="C1010" s="19"/>
    </row>
    <row r="1011" spans="3:3" x14ac:dyDescent="0.2">
      <c r="C1011" s="19"/>
    </row>
    <row r="1012" spans="3:3" x14ac:dyDescent="0.2">
      <c r="C1012" s="19"/>
    </row>
    <row r="1013" spans="3:3" x14ac:dyDescent="0.2">
      <c r="C1013" s="19"/>
    </row>
    <row r="1014" spans="3:3" x14ac:dyDescent="0.2">
      <c r="C1014" s="19"/>
    </row>
    <row r="1015" spans="3:3" x14ac:dyDescent="0.2">
      <c r="C1015" s="19"/>
    </row>
    <row r="1016" spans="3:3" x14ac:dyDescent="0.2">
      <c r="C1016" s="19"/>
    </row>
    <row r="1017" spans="3:3" x14ac:dyDescent="0.2">
      <c r="C1017" s="19"/>
    </row>
    <row r="1018" spans="3:3" x14ac:dyDescent="0.2">
      <c r="C1018" s="19"/>
    </row>
    <row r="1019" spans="3:3" x14ac:dyDescent="0.2">
      <c r="C1019" s="19"/>
    </row>
    <row r="1020" spans="3:3" x14ac:dyDescent="0.2">
      <c r="C1020" s="19"/>
    </row>
    <row r="1021" spans="3:3" x14ac:dyDescent="0.2">
      <c r="C1021" s="19"/>
    </row>
    <row r="1022" spans="3:3" x14ac:dyDescent="0.2">
      <c r="C1022" s="19"/>
    </row>
    <row r="1023" spans="3:3" x14ac:dyDescent="0.2">
      <c r="C1023" s="19"/>
    </row>
    <row r="1024" spans="3:3" x14ac:dyDescent="0.2">
      <c r="C1024" s="19"/>
    </row>
    <row r="1025" spans="3:3" x14ac:dyDescent="0.2">
      <c r="C1025" s="19"/>
    </row>
    <row r="1026" spans="3:3" x14ac:dyDescent="0.2">
      <c r="C1026" s="19"/>
    </row>
    <row r="1027" spans="3:3" x14ac:dyDescent="0.2">
      <c r="C1027" s="19"/>
    </row>
    <row r="1028" spans="3:3" x14ac:dyDescent="0.2">
      <c r="C1028" s="19"/>
    </row>
    <row r="1029" spans="3:3" x14ac:dyDescent="0.2">
      <c r="C1029" s="19"/>
    </row>
    <row r="1030" spans="3:3" x14ac:dyDescent="0.2">
      <c r="C1030" s="19"/>
    </row>
    <row r="1031" spans="3:3" x14ac:dyDescent="0.2">
      <c r="C1031" s="19"/>
    </row>
    <row r="1032" spans="3:3" x14ac:dyDescent="0.2">
      <c r="C1032" s="19"/>
    </row>
    <row r="1033" spans="3:3" x14ac:dyDescent="0.2">
      <c r="C1033" s="19"/>
    </row>
    <row r="1034" spans="3:3" x14ac:dyDescent="0.2">
      <c r="C1034" s="19"/>
    </row>
    <row r="1035" spans="3:3" x14ac:dyDescent="0.2">
      <c r="C1035" s="19"/>
    </row>
    <row r="1036" spans="3:3" x14ac:dyDescent="0.2">
      <c r="C1036" s="19"/>
    </row>
    <row r="1037" spans="3:3" x14ac:dyDescent="0.2">
      <c r="C1037" s="19"/>
    </row>
    <row r="1038" spans="3:3" x14ac:dyDescent="0.2">
      <c r="C1038" s="19"/>
    </row>
    <row r="1039" spans="3:3" x14ac:dyDescent="0.2">
      <c r="C1039" s="19"/>
    </row>
    <row r="1040" spans="3:3" x14ac:dyDescent="0.2">
      <c r="C1040" s="19"/>
    </row>
    <row r="1041" spans="3:3" x14ac:dyDescent="0.2">
      <c r="C1041" s="19"/>
    </row>
    <row r="1042" spans="3:3" x14ac:dyDescent="0.2">
      <c r="C1042" s="19"/>
    </row>
    <row r="1043" spans="3:3" x14ac:dyDescent="0.2">
      <c r="C1043" s="19"/>
    </row>
    <row r="1044" spans="3:3" x14ac:dyDescent="0.2">
      <c r="C1044" s="19"/>
    </row>
    <row r="1045" spans="3:3" x14ac:dyDescent="0.2">
      <c r="C1045" s="19"/>
    </row>
    <row r="1046" spans="3:3" x14ac:dyDescent="0.2">
      <c r="C1046" s="19"/>
    </row>
    <row r="1047" spans="3:3" x14ac:dyDescent="0.2">
      <c r="C1047" s="19"/>
    </row>
    <row r="1048" spans="3:3" x14ac:dyDescent="0.2">
      <c r="C1048" s="19"/>
    </row>
    <row r="1049" spans="3:3" x14ac:dyDescent="0.2">
      <c r="C1049" s="19"/>
    </row>
    <row r="1050" spans="3:3" x14ac:dyDescent="0.2">
      <c r="C1050" s="19"/>
    </row>
    <row r="1051" spans="3:3" x14ac:dyDescent="0.2">
      <c r="C1051" s="19"/>
    </row>
    <row r="1052" spans="3:3" x14ac:dyDescent="0.2">
      <c r="C1052" s="19"/>
    </row>
    <row r="1053" spans="3:3" x14ac:dyDescent="0.2">
      <c r="C1053" s="19"/>
    </row>
    <row r="1054" spans="3:3" x14ac:dyDescent="0.2">
      <c r="C1054" s="19"/>
    </row>
    <row r="1055" spans="3:3" x14ac:dyDescent="0.2">
      <c r="C1055" s="19"/>
    </row>
    <row r="1056" spans="3:3" x14ac:dyDescent="0.2">
      <c r="C1056" s="19"/>
    </row>
    <row r="1057" spans="3:3" x14ac:dyDescent="0.2">
      <c r="C1057" s="19"/>
    </row>
    <row r="1058" spans="3:3" x14ac:dyDescent="0.2">
      <c r="C1058" s="19"/>
    </row>
    <row r="1059" spans="3:3" x14ac:dyDescent="0.2">
      <c r="C1059" s="19"/>
    </row>
    <row r="1060" spans="3:3" x14ac:dyDescent="0.2">
      <c r="C1060" s="19"/>
    </row>
    <row r="1061" spans="3:3" x14ac:dyDescent="0.2">
      <c r="C1061" s="19"/>
    </row>
    <row r="1062" spans="3:3" x14ac:dyDescent="0.2">
      <c r="C1062" s="19"/>
    </row>
    <row r="1063" spans="3:3" x14ac:dyDescent="0.2">
      <c r="C1063" s="19"/>
    </row>
    <row r="1064" spans="3:3" x14ac:dyDescent="0.2">
      <c r="C1064" s="19"/>
    </row>
    <row r="1065" spans="3:3" x14ac:dyDescent="0.2">
      <c r="C1065" s="19"/>
    </row>
    <row r="1066" spans="3:3" x14ac:dyDescent="0.2">
      <c r="C1066" s="19"/>
    </row>
    <row r="1067" spans="3:3" x14ac:dyDescent="0.2">
      <c r="C1067" s="19"/>
    </row>
    <row r="1068" spans="3:3" x14ac:dyDescent="0.2">
      <c r="C1068" s="19"/>
    </row>
    <row r="1069" spans="3:3" x14ac:dyDescent="0.2">
      <c r="C1069" s="19"/>
    </row>
    <row r="1070" spans="3:3" x14ac:dyDescent="0.2">
      <c r="C1070" s="19"/>
    </row>
    <row r="1071" spans="3:3" x14ac:dyDescent="0.2">
      <c r="C1071" s="19"/>
    </row>
    <row r="1072" spans="3:3" x14ac:dyDescent="0.2">
      <c r="C1072" s="19"/>
    </row>
    <row r="1073" spans="3:3" x14ac:dyDescent="0.2">
      <c r="C1073" s="19"/>
    </row>
    <row r="1074" spans="3:3" x14ac:dyDescent="0.2">
      <c r="C1074" s="19"/>
    </row>
    <row r="1075" spans="3:3" x14ac:dyDescent="0.2">
      <c r="C1075" s="19"/>
    </row>
    <row r="1076" spans="3:3" x14ac:dyDescent="0.2">
      <c r="C1076" s="19"/>
    </row>
    <row r="1077" spans="3:3" x14ac:dyDescent="0.2">
      <c r="C1077" s="19"/>
    </row>
    <row r="1078" spans="3:3" x14ac:dyDescent="0.2">
      <c r="C1078" s="19"/>
    </row>
    <row r="1079" spans="3:3" x14ac:dyDescent="0.2">
      <c r="C1079" s="19"/>
    </row>
    <row r="1080" spans="3:3" x14ac:dyDescent="0.2">
      <c r="C1080" s="19"/>
    </row>
    <row r="1081" spans="3:3" x14ac:dyDescent="0.2">
      <c r="C1081" s="19"/>
    </row>
    <row r="1082" spans="3:3" x14ac:dyDescent="0.2">
      <c r="C1082" s="19"/>
    </row>
    <row r="1083" spans="3:3" x14ac:dyDescent="0.2">
      <c r="C1083" s="19"/>
    </row>
    <row r="1084" spans="3:3" x14ac:dyDescent="0.2">
      <c r="C1084" s="19"/>
    </row>
    <row r="1085" spans="3:3" x14ac:dyDescent="0.2">
      <c r="C1085" s="19"/>
    </row>
    <row r="1086" spans="3:3" x14ac:dyDescent="0.2">
      <c r="C1086" s="19"/>
    </row>
    <row r="1087" spans="3:3" x14ac:dyDescent="0.2">
      <c r="C1087" s="19"/>
    </row>
    <row r="1088" spans="3:3" x14ac:dyDescent="0.2">
      <c r="C1088" s="19"/>
    </row>
  </sheetData>
  <sheetProtection algorithmName="SHA-512" hashValue="gUhYQ2Tx8KTY5rSCkP/x5QV/p9yiTBUpCUsueXkxPLknZKCuJABz9o3fZy4GO8Q3Vx79z9dTlW9NI42yzH74Zw==" saltValue="HOR02bMHAwQjSdW8u0EgyQ==" spinCount="100000" sheet="1" objects="1" scenarios="1" selectLockedCells="1" selectUnlockedCells="1"/>
  <mergeCells count="26">
    <mergeCell ref="B27:C27"/>
    <mergeCell ref="B34:C34"/>
    <mergeCell ref="B47:C47"/>
    <mergeCell ref="B60:C60"/>
    <mergeCell ref="B116:C116"/>
    <mergeCell ref="B70:C70"/>
    <mergeCell ref="B78:C78"/>
    <mergeCell ref="B88:C88"/>
    <mergeCell ref="B95:C95"/>
    <mergeCell ref="B105:C105"/>
    <mergeCell ref="A1:D4"/>
    <mergeCell ref="B14:D14"/>
    <mergeCell ref="B107:D107"/>
    <mergeCell ref="B29:D29"/>
    <mergeCell ref="B36:D36"/>
    <mergeCell ref="B49:D49"/>
    <mergeCell ref="B62:D62"/>
    <mergeCell ref="B90:D90"/>
    <mergeCell ref="B97:D97"/>
    <mergeCell ref="B15:D15"/>
    <mergeCell ref="B22:D22"/>
    <mergeCell ref="B72:D72"/>
    <mergeCell ref="B80:D80"/>
    <mergeCell ref="B6:D6"/>
    <mergeCell ref="B12:C12"/>
    <mergeCell ref="B20:C20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BC732-4E71-BF40-B188-8CBF72B9BFB2}">
  <sheetPr codeName="Sheet4"/>
  <dimension ref="A1:AS1045"/>
  <sheetViews>
    <sheetView zoomScale="70" zoomScaleNormal="70" workbookViewId="0">
      <selection activeCell="D100" sqref="D100"/>
    </sheetView>
  </sheetViews>
  <sheetFormatPr baseColWidth="10" defaultColWidth="10.83203125" defaultRowHeight="20" x14ac:dyDescent="0.25"/>
  <cols>
    <col min="1" max="1" width="10.83203125" style="17"/>
    <col min="2" max="2" width="16.1640625" style="1" customWidth="1"/>
    <col min="3" max="3" width="55.5" style="1" bestFit="1" customWidth="1"/>
    <col min="4" max="4" width="55.1640625" style="1" customWidth="1"/>
    <col min="5" max="5" width="7" style="17" customWidth="1"/>
    <col min="6" max="6" width="9.83203125" style="17" customWidth="1"/>
    <col min="7" max="7" width="18" style="17" customWidth="1"/>
    <col min="8" max="8" width="61.33203125" style="17" customWidth="1"/>
    <col min="9" max="15" width="10.83203125" style="17"/>
    <col min="16" max="45" width="10.83203125" style="16"/>
    <col min="46" max="16384" width="10.83203125" style="1"/>
  </cols>
  <sheetData>
    <row r="1" spans="1:15" s="19" customFormat="1" ht="16" customHeight="1" x14ac:dyDescent="0.2">
      <c r="A1" s="128" t="s">
        <v>257</v>
      </c>
      <c r="B1" s="128"/>
      <c r="C1" s="128"/>
      <c r="D1" s="128"/>
      <c r="E1" s="128"/>
      <c r="F1" s="128"/>
      <c r="G1" s="128"/>
      <c r="H1" s="128"/>
      <c r="I1" s="23"/>
      <c r="J1" s="23"/>
      <c r="K1" s="23"/>
      <c r="L1" s="23"/>
      <c r="M1" s="23"/>
      <c r="N1" s="23"/>
      <c r="O1" s="23"/>
    </row>
    <row r="2" spans="1:15" s="19" customFormat="1" ht="16" customHeight="1" x14ac:dyDescent="0.2">
      <c r="A2" s="128"/>
      <c r="B2" s="128"/>
      <c r="C2" s="128"/>
      <c r="D2" s="128"/>
      <c r="E2" s="128"/>
      <c r="F2" s="128"/>
      <c r="G2" s="128"/>
      <c r="H2" s="128"/>
      <c r="I2" s="23"/>
      <c r="J2" s="23"/>
      <c r="K2" s="23"/>
      <c r="L2" s="23"/>
      <c r="M2" s="23"/>
      <c r="N2" s="23"/>
      <c r="O2" s="23"/>
    </row>
    <row r="3" spans="1:15" s="19" customFormat="1" ht="16" customHeight="1" x14ac:dyDescent="0.2">
      <c r="A3" s="128"/>
      <c r="B3" s="128"/>
      <c r="C3" s="128"/>
      <c r="D3" s="128"/>
      <c r="E3" s="128"/>
      <c r="F3" s="128"/>
      <c r="G3" s="128"/>
      <c r="H3" s="128"/>
      <c r="I3" s="23"/>
      <c r="J3" s="23"/>
      <c r="K3" s="23"/>
      <c r="L3" s="23"/>
      <c r="M3" s="23"/>
      <c r="N3" s="23"/>
      <c r="O3" s="23"/>
    </row>
    <row r="4" spans="1:15" s="19" customFormat="1" ht="26" customHeight="1" x14ac:dyDescent="0.2">
      <c r="A4" s="128"/>
      <c r="B4" s="128"/>
      <c r="C4" s="128"/>
      <c r="D4" s="128"/>
      <c r="E4" s="128"/>
      <c r="F4" s="128"/>
      <c r="G4" s="128"/>
      <c r="H4" s="128"/>
      <c r="I4" s="23"/>
      <c r="J4" s="23"/>
      <c r="K4" s="23"/>
      <c r="L4" s="23"/>
      <c r="M4" s="23"/>
      <c r="N4" s="23"/>
      <c r="O4" s="23"/>
    </row>
    <row r="5" spans="1:15" s="19" customFormat="1" ht="24" x14ac:dyDescent="0.3">
      <c r="A5" s="55"/>
      <c r="B5" s="24"/>
      <c r="C5" s="48"/>
      <c r="D5" s="48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</row>
    <row r="6" spans="1:15" ht="26" x14ac:dyDescent="0.3">
      <c r="B6" s="99" t="s">
        <v>9</v>
      </c>
      <c r="C6" s="99"/>
      <c r="D6" s="99"/>
    </row>
    <row r="7" spans="1:15" ht="26" customHeight="1" x14ac:dyDescent="0.3">
      <c r="B7" s="99" t="s">
        <v>10</v>
      </c>
      <c r="C7" s="99"/>
      <c r="D7" s="99"/>
    </row>
    <row r="8" spans="1:15" ht="26" x14ac:dyDescent="0.3">
      <c r="B8" s="99" t="s">
        <v>11</v>
      </c>
      <c r="C8" s="99"/>
      <c r="D8" s="2" t="s">
        <v>221</v>
      </c>
    </row>
    <row r="9" spans="1:15" ht="24" customHeight="1" x14ac:dyDescent="0.3">
      <c r="B9" s="123" t="s">
        <v>32</v>
      </c>
      <c r="C9" s="122" t="s">
        <v>18</v>
      </c>
      <c r="D9" s="130"/>
      <c r="F9" s="132" t="s">
        <v>220</v>
      </c>
      <c r="G9" s="132"/>
      <c r="H9" s="132"/>
    </row>
    <row r="10" spans="1:15" x14ac:dyDescent="0.25">
      <c r="B10" s="123"/>
      <c r="C10" s="4" t="s">
        <v>23</v>
      </c>
      <c r="D10" s="3"/>
      <c r="F10" s="132"/>
      <c r="G10" s="132"/>
      <c r="H10" s="132"/>
    </row>
    <row r="11" spans="1:15" x14ac:dyDescent="0.25">
      <c r="B11" s="123"/>
      <c r="C11" s="4" t="s">
        <v>233</v>
      </c>
      <c r="D11" s="3"/>
      <c r="F11" s="49"/>
      <c r="G11" s="50"/>
      <c r="H11" s="51"/>
    </row>
    <row r="12" spans="1:15" x14ac:dyDescent="0.25">
      <c r="B12" s="123"/>
      <c r="C12" s="56" t="s">
        <v>0</v>
      </c>
      <c r="D12" s="5" t="s">
        <v>59</v>
      </c>
      <c r="F12" s="49"/>
      <c r="G12" s="50"/>
      <c r="H12" s="51"/>
    </row>
    <row r="13" spans="1:15" x14ac:dyDescent="0.25">
      <c r="B13" s="123"/>
      <c r="C13" s="56" t="s">
        <v>39</v>
      </c>
      <c r="D13" s="5" t="s">
        <v>59</v>
      </c>
      <c r="F13" s="49"/>
      <c r="G13" s="50"/>
      <c r="H13" s="51"/>
    </row>
    <row r="14" spans="1:15" ht="24" x14ac:dyDescent="0.3">
      <c r="B14" s="123"/>
      <c r="C14" s="131" t="s">
        <v>25</v>
      </c>
      <c r="D14" s="131"/>
      <c r="F14" s="49"/>
      <c r="G14" s="50"/>
      <c r="H14" s="51"/>
    </row>
    <row r="15" spans="1:15" x14ac:dyDescent="0.25">
      <c r="B15" s="123"/>
      <c r="C15" s="4" t="s">
        <v>20</v>
      </c>
      <c r="D15" s="3"/>
      <c r="F15" s="49"/>
      <c r="G15" s="50"/>
      <c r="H15" s="51"/>
    </row>
    <row r="16" spans="1:15" x14ac:dyDescent="0.25">
      <c r="B16" s="123"/>
      <c r="C16" s="4" t="s">
        <v>21</v>
      </c>
      <c r="D16" s="3"/>
      <c r="F16" s="49"/>
      <c r="G16" s="50"/>
      <c r="H16" s="51"/>
    </row>
    <row r="17" spans="2:8" x14ac:dyDescent="0.25">
      <c r="B17" s="123"/>
      <c r="C17" s="4" t="s">
        <v>22</v>
      </c>
      <c r="D17" s="5" t="s">
        <v>59</v>
      </c>
      <c r="F17" s="49"/>
      <c r="G17" s="50"/>
      <c r="H17" s="51"/>
    </row>
    <row r="18" spans="2:8" x14ac:dyDescent="0.25">
      <c r="B18" s="123"/>
      <c r="C18" s="4" t="s">
        <v>26</v>
      </c>
      <c r="D18" s="3"/>
      <c r="F18" s="49"/>
      <c r="G18" s="50"/>
      <c r="H18" s="51"/>
    </row>
    <row r="19" spans="2:8" ht="24" x14ac:dyDescent="0.3">
      <c r="B19" s="123"/>
      <c r="C19" s="122" t="s">
        <v>165</v>
      </c>
      <c r="D19" s="130"/>
      <c r="F19" s="49"/>
      <c r="G19" s="50"/>
      <c r="H19" s="51"/>
    </row>
    <row r="20" spans="2:8" x14ac:dyDescent="0.25">
      <c r="B20" s="123"/>
      <c r="C20" s="4" t="s">
        <v>27</v>
      </c>
      <c r="D20" s="3"/>
      <c r="F20" s="49"/>
      <c r="G20" s="50"/>
      <c r="H20" s="51"/>
    </row>
    <row r="21" spans="2:8" x14ac:dyDescent="0.25">
      <c r="B21" s="123"/>
      <c r="C21" s="4" t="s">
        <v>28</v>
      </c>
      <c r="D21" s="3"/>
      <c r="F21" s="49"/>
      <c r="G21" s="50"/>
      <c r="H21" s="51"/>
    </row>
    <row r="22" spans="2:8" ht="26" customHeight="1" x14ac:dyDescent="0.25">
      <c r="B22" s="123"/>
      <c r="C22" s="4" t="s">
        <v>29</v>
      </c>
      <c r="D22" s="3"/>
      <c r="F22" s="49"/>
      <c r="G22" s="50"/>
      <c r="H22" s="51"/>
    </row>
    <row r="23" spans="2:8" x14ac:dyDescent="0.25">
      <c r="B23" s="123"/>
      <c r="C23" s="4" t="s">
        <v>30</v>
      </c>
      <c r="D23" s="3"/>
      <c r="F23" s="49"/>
      <c r="G23" s="50"/>
      <c r="H23" s="51"/>
    </row>
    <row r="24" spans="2:8" ht="24" customHeight="1" x14ac:dyDescent="0.25">
      <c r="B24" s="123"/>
      <c r="C24" s="4" t="s">
        <v>31</v>
      </c>
      <c r="D24" s="3"/>
      <c r="F24" s="49"/>
      <c r="G24" s="50"/>
      <c r="H24" s="51"/>
    </row>
    <row r="25" spans="2:8" ht="20" customHeight="1" x14ac:dyDescent="0.3">
      <c r="B25" s="123"/>
      <c r="C25" s="122" t="s">
        <v>32</v>
      </c>
      <c r="D25" s="130"/>
      <c r="F25" s="49"/>
      <c r="G25" s="50"/>
      <c r="H25" s="51"/>
    </row>
    <row r="26" spans="2:8" x14ac:dyDescent="0.25">
      <c r="B26" s="123"/>
      <c r="C26" s="4" t="s">
        <v>37</v>
      </c>
      <c r="D26" s="3"/>
      <c r="F26" s="49"/>
      <c r="G26" s="50"/>
      <c r="H26" s="51"/>
    </row>
    <row r="27" spans="2:8" x14ac:dyDescent="0.25">
      <c r="B27" s="123"/>
      <c r="C27" s="4" t="s">
        <v>38</v>
      </c>
      <c r="D27" s="5" t="s">
        <v>59</v>
      </c>
      <c r="F27" s="52"/>
      <c r="G27" s="53"/>
      <c r="H27" s="54"/>
    </row>
    <row r="28" spans="2:8" x14ac:dyDescent="0.25">
      <c r="B28" s="123"/>
      <c r="C28" s="4" t="s">
        <v>24</v>
      </c>
      <c r="D28" s="5" t="s">
        <v>47</v>
      </c>
      <c r="F28" s="129" t="s">
        <v>228</v>
      </c>
      <c r="G28" s="129"/>
      <c r="H28" s="129"/>
    </row>
    <row r="29" spans="2:8" x14ac:dyDescent="0.25">
      <c r="B29" s="123"/>
      <c r="C29" s="4" t="s">
        <v>44</v>
      </c>
      <c r="D29" s="3"/>
    </row>
    <row r="30" spans="2:8" x14ac:dyDescent="0.25">
      <c r="B30" s="123"/>
      <c r="C30" s="4" t="s">
        <v>166</v>
      </c>
      <c r="D30" s="3"/>
    </row>
    <row r="31" spans="2:8" x14ac:dyDescent="0.25">
      <c r="B31" s="123"/>
      <c r="C31" s="56" t="s">
        <v>235</v>
      </c>
      <c r="D31" s="5" t="s">
        <v>59</v>
      </c>
    </row>
    <row r="32" spans="2:8" x14ac:dyDescent="0.25">
      <c r="B32" s="123"/>
      <c r="C32" s="4" t="s">
        <v>238</v>
      </c>
      <c r="D32" s="5">
        <v>0</v>
      </c>
    </row>
    <row r="33" spans="2:4" x14ac:dyDescent="0.25">
      <c r="B33" s="123"/>
      <c r="C33" s="4" t="s">
        <v>239</v>
      </c>
      <c r="D33" s="5">
        <v>0</v>
      </c>
    </row>
    <row r="34" spans="2:4" ht="20" customHeight="1" x14ac:dyDescent="0.25">
      <c r="C34" s="17"/>
      <c r="D34" s="17"/>
    </row>
    <row r="35" spans="2:4" x14ac:dyDescent="0.25">
      <c r="B35" s="123" t="s">
        <v>164</v>
      </c>
      <c r="C35" s="124" t="s">
        <v>90</v>
      </c>
      <c r="D35" s="124"/>
    </row>
    <row r="36" spans="2:4" x14ac:dyDescent="0.25">
      <c r="B36" s="123"/>
      <c r="C36" s="7" t="s">
        <v>57</v>
      </c>
      <c r="D36" s="5" t="s">
        <v>47</v>
      </c>
    </row>
    <row r="37" spans="2:4" x14ac:dyDescent="0.25">
      <c r="B37" s="123"/>
      <c r="C37" s="7" t="s">
        <v>58</v>
      </c>
      <c r="D37" s="5" t="s">
        <v>59</v>
      </c>
    </row>
    <row r="38" spans="2:4" x14ac:dyDescent="0.25">
      <c r="B38" s="123"/>
      <c r="C38" s="7" t="s">
        <v>60</v>
      </c>
      <c r="D38" s="5" t="s">
        <v>59</v>
      </c>
    </row>
    <row r="39" spans="2:4" x14ac:dyDescent="0.25">
      <c r="B39" s="123"/>
      <c r="C39" s="7" t="s">
        <v>75</v>
      </c>
      <c r="D39" s="5">
        <v>0</v>
      </c>
    </row>
    <row r="40" spans="2:4" x14ac:dyDescent="0.25">
      <c r="B40" s="123"/>
      <c r="C40" s="7" t="s">
        <v>76</v>
      </c>
      <c r="D40" s="5" t="s">
        <v>59</v>
      </c>
    </row>
    <row r="41" spans="2:4" ht="20" customHeight="1" x14ac:dyDescent="0.25">
      <c r="C41" s="17"/>
      <c r="D41" s="17" t="s">
        <v>47</v>
      </c>
    </row>
    <row r="42" spans="2:4" ht="62" customHeight="1" x14ac:dyDescent="0.25">
      <c r="B42" s="123" t="s">
        <v>156</v>
      </c>
      <c r="C42" s="124" t="s">
        <v>136</v>
      </c>
      <c r="D42" s="124"/>
    </row>
    <row r="43" spans="2:4" x14ac:dyDescent="0.25">
      <c r="B43" s="123"/>
      <c r="C43" s="7" t="s">
        <v>217</v>
      </c>
      <c r="D43" s="5" t="s">
        <v>47</v>
      </c>
    </row>
    <row r="44" spans="2:4" x14ac:dyDescent="0.25">
      <c r="B44" s="123"/>
      <c r="C44" s="7" t="s">
        <v>247</v>
      </c>
      <c r="D44" s="5" t="s">
        <v>59</v>
      </c>
    </row>
    <row r="45" spans="2:4" x14ac:dyDescent="0.25">
      <c r="B45" s="123"/>
      <c r="C45" s="7" t="s">
        <v>248</v>
      </c>
      <c r="D45" s="5" t="s">
        <v>59</v>
      </c>
    </row>
    <row r="46" spans="2:4" x14ac:dyDescent="0.25">
      <c r="B46" s="123"/>
      <c r="C46" s="7" t="s">
        <v>249</v>
      </c>
      <c r="D46" s="5" t="s">
        <v>59</v>
      </c>
    </row>
    <row r="47" spans="2:4" x14ac:dyDescent="0.25">
      <c r="B47" s="123"/>
      <c r="C47" s="124" t="s">
        <v>138</v>
      </c>
      <c r="D47" s="124"/>
    </row>
    <row r="48" spans="2:4" x14ac:dyDescent="0.25">
      <c r="B48" s="123"/>
      <c r="C48" s="7" t="s">
        <v>131</v>
      </c>
      <c r="D48" s="5" t="s">
        <v>47</v>
      </c>
    </row>
    <row r="49" spans="2:4" x14ac:dyDescent="0.25">
      <c r="B49" s="123"/>
      <c r="C49" s="7" t="s">
        <v>129</v>
      </c>
      <c r="D49" s="5" t="s">
        <v>47</v>
      </c>
    </row>
    <row r="50" spans="2:4" x14ac:dyDescent="0.25">
      <c r="B50" s="123"/>
      <c r="C50" s="7" t="s">
        <v>130</v>
      </c>
      <c r="D50" s="5" t="s">
        <v>47</v>
      </c>
    </row>
    <row r="51" spans="2:4" x14ac:dyDescent="0.25">
      <c r="B51" s="123"/>
      <c r="C51" s="7" t="s">
        <v>132</v>
      </c>
      <c r="D51" s="5" t="s">
        <v>47</v>
      </c>
    </row>
    <row r="52" spans="2:4" x14ac:dyDescent="0.25">
      <c r="B52" s="123"/>
      <c r="C52" s="7" t="s">
        <v>133</v>
      </c>
      <c r="D52" s="5" t="s">
        <v>47</v>
      </c>
    </row>
    <row r="53" spans="2:4" x14ac:dyDescent="0.25">
      <c r="B53" s="123"/>
      <c r="C53" s="7" t="s">
        <v>134</v>
      </c>
      <c r="D53" s="5" t="s">
        <v>47</v>
      </c>
    </row>
    <row r="54" spans="2:4" x14ac:dyDescent="0.25">
      <c r="B54" s="123"/>
      <c r="C54" s="7" t="s">
        <v>135</v>
      </c>
      <c r="D54" s="5" t="s">
        <v>47</v>
      </c>
    </row>
    <row r="55" spans="2:4" x14ac:dyDescent="0.25">
      <c r="B55" s="123"/>
      <c r="C55" s="7" t="s">
        <v>188</v>
      </c>
      <c r="D55" s="5" t="s">
        <v>47</v>
      </c>
    </row>
    <row r="56" spans="2:4" x14ac:dyDescent="0.25">
      <c r="B56" s="123"/>
      <c r="C56" s="7" t="s">
        <v>155</v>
      </c>
      <c r="D56" s="5" t="s">
        <v>47</v>
      </c>
    </row>
    <row r="57" spans="2:4" x14ac:dyDescent="0.25">
      <c r="B57" s="123"/>
      <c r="C57" s="124" t="s">
        <v>139</v>
      </c>
      <c r="D57" s="124"/>
    </row>
    <row r="58" spans="2:4" x14ac:dyDescent="0.25">
      <c r="B58" s="123"/>
      <c r="C58" s="7" t="s">
        <v>140</v>
      </c>
      <c r="D58" s="5" t="s">
        <v>47</v>
      </c>
    </row>
    <row r="59" spans="2:4" x14ac:dyDescent="0.25">
      <c r="B59" s="123"/>
      <c r="C59" s="7" t="s">
        <v>141</v>
      </c>
      <c r="D59" s="5" t="s">
        <v>47</v>
      </c>
    </row>
    <row r="60" spans="2:4" x14ac:dyDescent="0.25">
      <c r="B60" s="123"/>
      <c r="C60" s="7" t="s">
        <v>142</v>
      </c>
      <c r="D60" s="5" t="s">
        <v>47</v>
      </c>
    </row>
    <row r="61" spans="2:4" x14ac:dyDescent="0.25">
      <c r="B61" s="123"/>
      <c r="C61" s="7" t="s">
        <v>143</v>
      </c>
      <c r="D61" s="5" t="s">
        <v>47</v>
      </c>
    </row>
    <row r="62" spans="2:4" x14ac:dyDescent="0.25">
      <c r="B62" s="123"/>
      <c r="C62" s="7" t="s">
        <v>144</v>
      </c>
      <c r="D62" s="5" t="s">
        <v>47</v>
      </c>
    </row>
    <row r="63" spans="2:4" x14ac:dyDescent="0.25">
      <c r="B63" s="123"/>
      <c r="C63" s="7" t="s">
        <v>145</v>
      </c>
      <c r="D63" s="5" t="s">
        <v>47</v>
      </c>
    </row>
    <row r="64" spans="2:4" x14ac:dyDescent="0.25">
      <c r="B64" s="123"/>
      <c r="C64" s="7" t="s">
        <v>157</v>
      </c>
      <c r="D64" s="5" t="s">
        <v>47</v>
      </c>
    </row>
    <row r="65" spans="2:4" x14ac:dyDescent="0.25">
      <c r="B65" s="123"/>
      <c r="C65" s="7" t="s">
        <v>146</v>
      </c>
      <c r="D65" s="5" t="s">
        <v>47</v>
      </c>
    </row>
    <row r="66" spans="2:4" x14ac:dyDescent="0.25">
      <c r="B66" s="123"/>
      <c r="C66" s="7" t="s">
        <v>147</v>
      </c>
      <c r="D66" s="5" t="s">
        <v>47</v>
      </c>
    </row>
    <row r="67" spans="2:4" x14ac:dyDescent="0.25">
      <c r="B67" s="123"/>
      <c r="C67" s="124" t="s">
        <v>148</v>
      </c>
      <c r="D67" s="124"/>
    </row>
    <row r="68" spans="2:4" x14ac:dyDescent="0.25">
      <c r="B68" s="123"/>
      <c r="C68" s="7" t="s">
        <v>149</v>
      </c>
      <c r="D68" s="5">
        <v>0</v>
      </c>
    </row>
    <row r="69" spans="2:4" x14ac:dyDescent="0.25">
      <c r="B69" s="123"/>
      <c r="C69" s="7" t="s">
        <v>150</v>
      </c>
      <c r="D69" s="5" t="s">
        <v>47</v>
      </c>
    </row>
    <row r="70" spans="2:4" x14ac:dyDescent="0.25">
      <c r="B70" s="123"/>
      <c r="C70" s="7" t="s">
        <v>151</v>
      </c>
      <c r="D70" s="5" t="s">
        <v>47</v>
      </c>
    </row>
    <row r="71" spans="2:4" x14ac:dyDescent="0.25">
      <c r="B71" s="123"/>
      <c r="C71" s="7" t="s">
        <v>152</v>
      </c>
      <c r="D71" s="5">
        <v>0</v>
      </c>
    </row>
    <row r="72" spans="2:4" x14ac:dyDescent="0.25">
      <c r="B72" s="123"/>
      <c r="C72" s="7" t="s">
        <v>153</v>
      </c>
      <c r="D72" s="5" t="s">
        <v>47</v>
      </c>
    </row>
    <row r="73" spans="2:4" x14ac:dyDescent="0.25">
      <c r="B73" s="123"/>
      <c r="C73" s="7" t="s">
        <v>154</v>
      </c>
      <c r="D73" s="5" t="s">
        <v>47</v>
      </c>
    </row>
    <row r="74" spans="2:4" ht="20" customHeight="1" x14ac:dyDescent="0.25">
      <c r="C74" s="17"/>
      <c r="D74" s="17"/>
    </row>
    <row r="75" spans="2:4" x14ac:dyDescent="0.25">
      <c r="B75" s="125" t="s">
        <v>189</v>
      </c>
      <c r="C75" s="124" t="s">
        <v>190</v>
      </c>
      <c r="D75" s="124"/>
    </row>
    <row r="76" spans="2:4" x14ac:dyDescent="0.25">
      <c r="B76" s="126"/>
      <c r="C76" s="7" t="s">
        <v>218</v>
      </c>
      <c r="D76" s="5" t="s">
        <v>47</v>
      </c>
    </row>
    <row r="77" spans="2:4" x14ac:dyDescent="0.25">
      <c r="B77" s="126"/>
      <c r="C77" s="7" t="s">
        <v>254</v>
      </c>
      <c r="D77" s="5" t="s">
        <v>47</v>
      </c>
    </row>
    <row r="78" spans="2:4" x14ac:dyDescent="0.25">
      <c r="B78" s="126"/>
      <c r="C78" s="7" t="s">
        <v>72</v>
      </c>
      <c r="D78" s="5" t="s">
        <v>59</v>
      </c>
    </row>
    <row r="79" spans="2:4" x14ac:dyDescent="0.25">
      <c r="B79" s="126"/>
      <c r="C79" s="7" t="s">
        <v>73</v>
      </c>
      <c r="D79" s="5" t="s">
        <v>59</v>
      </c>
    </row>
    <row r="80" spans="2:4" x14ac:dyDescent="0.25">
      <c r="B80" s="126"/>
      <c r="C80" s="7" t="s">
        <v>74</v>
      </c>
      <c r="D80" s="5" t="s">
        <v>59</v>
      </c>
    </row>
    <row r="81" spans="2:4" x14ac:dyDescent="0.25">
      <c r="B81" s="126"/>
      <c r="C81" s="124" t="s">
        <v>191</v>
      </c>
      <c r="D81" s="124"/>
    </row>
    <row r="82" spans="2:4" x14ac:dyDescent="0.25">
      <c r="B82" s="126"/>
      <c r="C82" s="7" t="s">
        <v>253</v>
      </c>
      <c r="D82" s="5" t="s">
        <v>47</v>
      </c>
    </row>
    <row r="83" spans="2:4" x14ac:dyDescent="0.25">
      <c r="B83" s="126"/>
      <c r="C83" s="7" t="s">
        <v>161</v>
      </c>
      <c r="D83" s="5" t="s">
        <v>59</v>
      </c>
    </row>
    <row r="84" spans="2:4" x14ac:dyDescent="0.25">
      <c r="B84" s="126"/>
      <c r="C84" s="7" t="s">
        <v>162</v>
      </c>
      <c r="D84" s="5" t="s">
        <v>59</v>
      </c>
    </row>
    <row r="85" spans="2:4" x14ac:dyDescent="0.25">
      <c r="B85" s="126"/>
      <c r="C85" s="7" t="s">
        <v>163</v>
      </c>
      <c r="D85" s="5" t="s">
        <v>59</v>
      </c>
    </row>
    <row r="86" spans="2:4" x14ac:dyDescent="0.25">
      <c r="B86" s="126"/>
      <c r="C86" s="7" t="s">
        <v>87</v>
      </c>
      <c r="D86" s="5" t="s">
        <v>47</v>
      </c>
    </row>
    <row r="87" spans="2:4" x14ac:dyDescent="0.25">
      <c r="B87" s="126"/>
      <c r="C87" s="7" t="s">
        <v>88</v>
      </c>
      <c r="D87" s="5" t="s">
        <v>47</v>
      </c>
    </row>
    <row r="88" spans="2:4" x14ac:dyDescent="0.25">
      <c r="B88" s="126"/>
      <c r="C88" s="124" t="s">
        <v>192</v>
      </c>
      <c r="D88" s="124"/>
    </row>
    <row r="89" spans="2:4" x14ac:dyDescent="0.25">
      <c r="B89" s="126"/>
      <c r="C89" s="7" t="s">
        <v>86</v>
      </c>
      <c r="D89" s="5" t="s">
        <v>59</v>
      </c>
    </row>
    <row r="90" spans="2:4" x14ac:dyDescent="0.25">
      <c r="B90" s="126"/>
      <c r="C90" s="8" t="s">
        <v>250</v>
      </c>
      <c r="D90" s="5" t="s">
        <v>59</v>
      </c>
    </row>
    <row r="91" spans="2:4" x14ac:dyDescent="0.25">
      <c r="B91" s="126"/>
      <c r="C91" s="7" t="s">
        <v>91</v>
      </c>
      <c r="D91" s="5" t="s">
        <v>59</v>
      </c>
    </row>
    <row r="92" spans="2:4" x14ac:dyDescent="0.25">
      <c r="B92" s="126"/>
      <c r="C92" s="124" t="s">
        <v>193</v>
      </c>
      <c r="D92" s="124"/>
    </row>
    <row r="93" spans="2:4" x14ac:dyDescent="0.25">
      <c r="B93" s="126"/>
      <c r="C93" s="7" t="s">
        <v>125</v>
      </c>
      <c r="D93" s="5" t="s">
        <v>47</v>
      </c>
    </row>
    <row r="94" spans="2:4" x14ac:dyDescent="0.25">
      <c r="B94" s="126"/>
      <c r="C94" s="7" t="s">
        <v>126</v>
      </c>
      <c r="D94" s="5" t="s">
        <v>47</v>
      </c>
    </row>
    <row r="95" spans="2:4" x14ac:dyDescent="0.25">
      <c r="B95" s="126"/>
      <c r="C95" s="7" t="s">
        <v>128</v>
      </c>
      <c r="D95" s="5" t="s">
        <v>47</v>
      </c>
    </row>
    <row r="96" spans="2:4" x14ac:dyDescent="0.25">
      <c r="B96" s="126"/>
      <c r="C96" s="7" t="s">
        <v>127</v>
      </c>
      <c r="D96" s="5" t="s">
        <v>47</v>
      </c>
    </row>
    <row r="97" spans="2:4" x14ac:dyDescent="0.25">
      <c r="B97" s="126"/>
      <c r="C97" s="7" t="s">
        <v>159</v>
      </c>
      <c r="D97" s="5" t="s">
        <v>47</v>
      </c>
    </row>
    <row r="98" spans="2:4" x14ac:dyDescent="0.25">
      <c r="B98" s="126"/>
      <c r="C98" s="7" t="s">
        <v>160</v>
      </c>
      <c r="D98" s="5" t="s">
        <v>47</v>
      </c>
    </row>
    <row r="99" spans="2:4" x14ac:dyDescent="0.25">
      <c r="B99" s="126"/>
      <c r="C99" s="124" t="s">
        <v>258</v>
      </c>
      <c r="D99" s="124"/>
    </row>
    <row r="100" spans="2:4" x14ac:dyDescent="0.25">
      <c r="B100" s="126"/>
      <c r="C100" s="7" t="s">
        <v>124</v>
      </c>
      <c r="D100" s="5" t="s">
        <v>47</v>
      </c>
    </row>
    <row r="101" spans="2:4" x14ac:dyDescent="0.25">
      <c r="B101" s="126"/>
      <c r="C101" s="7" t="s">
        <v>95</v>
      </c>
      <c r="D101" s="5" t="s">
        <v>47</v>
      </c>
    </row>
    <row r="102" spans="2:4" x14ac:dyDescent="0.25">
      <c r="B102" s="126"/>
      <c r="C102" s="7" t="s">
        <v>94</v>
      </c>
      <c r="D102" s="5" t="s">
        <v>47</v>
      </c>
    </row>
    <row r="103" spans="2:4" x14ac:dyDescent="0.25">
      <c r="B103" s="126"/>
      <c r="C103" s="7" t="s">
        <v>96</v>
      </c>
      <c r="D103" s="5" t="s">
        <v>47</v>
      </c>
    </row>
    <row r="104" spans="2:4" x14ac:dyDescent="0.25">
      <c r="B104" s="126"/>
      <c r="C104" s="7" t="s">
        <v>122</v>
      </c>
      <c r="D104" s="5" t="s">
        <v>47</v>
      </c>
    </row>
    <row r="105" spans="2:4" x14ac:dyDescent="0.25">
      <c r="B105" s="126"/>
      <c r="C105" s="7" t="s">
        <v>123</v>
      </c>
      <c r="D105" s="5" t="s">
        <v>47</v>
      </c>
    </row>
    <row r="106" spans="2:4" x14ac:dyDescent="0.25">
      <c r="B106" s="127"/>
      <c r="C106" s="7" t="s">
        <v>211</v>
      </c>
      <c r="D106" s="5" t="s">
        <v>47</v>
      </c>
    </row>
    <row r="107" spans="2:4" s="17" customFormat="1" x14ac:dyDescent="0.25"/>
    <row r="108" spans="2:4" s="17" customFormat="1" x14ac:dyDescent="0.25"/>
    <row r="109" spans="2:4" s="17" customFormat="1" x14ac:dyDescent="0.25"/>
    <row r="110" spans="2:4" s="17" customFormat="1" x14ac:dyDescent="0.25"/>
    <row r="111" spans="2:4" s="17" customFormat="1" x14ac:dyDescent="0.25"/>
    <row r="112" spans="2:4" s="17" customFormat="1" x14ac:dyDescent="0.25"/>
    <row r="113" s="17" customFormat="1" x14ac:dyDescent="0.25"/>
    <row r="114" s="17" customFormat="1" x14ac:dyDescent="0.25"/>
    <row r="115" s="17" customFormat="1" x14ac:dyDescent="0.25"/>
    <row r="116" s="17" customFormat="1" x14ac:dyDescent="0.25"/>
    <row r="117" s="17" customFormat="1" x14ac:dyDescent="0.25"/>
    <row r="118" s="17" customFormat="1" x14ac:dyDescent="0.25"/>
    <row r="119" s="17" customFormat="1" x14ac:dyDescent="0.25"/>
    <row r="120" s="17" customFormat="1" x14ac:dyDescent="0.25"/>
    <row r="121" s="17" customFormat="1" x14ac:dyDescent="0.25"/>
    <row r="122" s="17" customFormat="1" x14ac:dyDescent="0.25"/>
    <row r="123" s="17" customFormat="1" x14ac:dyDescent="0.25"/>
    <row r="124" s="17" customFormat="1" x14ac:dyDescent="0.25"/>
    <row r="125" s="17" customFormat="1" x14ac:dyDescent="0.25"/>
    <row r="126" s="17" customFormat="1" x14ac:dyDescent="0.25"/>
    <row r="127" s="17" customFormat="1" x14ac:dyDescent="0.25"/>
    <row r="128" s="17" customFormat="1" x14ac:dyDescent="0.25"/>
    <row r="129" s="17" customFormat="1" x14ac:dyDescent="0.25"/>
    <row r="130" s="17" customFormat="1" x14ac:dyDescent="0.25"/>
    <row r="131" s="17" customFormat="1" x14ac:dyDescent="0.25"/>
    <row r="132" s="17" customFormat="1" x14ac:dyDescent="0.25"/>
    <row r="133" s="17" customFormat="1" x14ac:dyDescent="0.25"/>
    <row r="134" s="17" customFormat="1" x14ac:dyDescent="0.25"/>
    <row r="135" s="17" customFormat="1" x14ac:dyDescent="0.25"/>
    <row r="136" s="17" customFormat="1" x14ac:dyDescent="0.25"/>
    <row r="137" s="17" customFormat="1" x14ac:dyDescent="0.25"/>
    <row r="138" s="17" customFormat="1" x14ac:dyDescent="0.25"/>
    <row r="139" s="17" customFormat="1" x14ac:dyDescent="0.25"/>
    <row r="140" s="17" customFormat="1" x14ac:dyDescent="0.25"/>
    <row r="141" s="17" customFormat="1" x14ac:dyDescent="0.25"/>
    <row r="142" s="17" customFormat="1" x14ac:dyDescent="0.25"/>
    <row r="143" s="17" customFormat="1" x14ac:dyDescent="0.25"/>
    <row r="144" s="17" customFormat="1" x14ac:dyDescent="0.25"/>
    <row r="145" s="17" customFormat="1" x14ac:dyDescent="0.25"/>
    <row r="146" s="17" customFormat="1" x14ac:dyDescent="0.25"/>
    <row r="147" s="17" customFormat="1" x14ac:dyDescent="0.25"/>
    <row r="148" s="17" customFormat="1" x14ac:dyDescent="0.25"/>
    <row r="149" s="17" customFormat="1" x14ac:dyDescent="0.25"/>
    <row r="150" s="17" customFormat="1" x14ac:dyDescent="0.25"/>
    <row r="151" s="17" customFormat="1" x14ac:dyDescent="0.25"/>
    <row r="152" s="17" customFormat="1" x14ac:dyDescent="0.25"/>
    <row r="153" s="17" customFormat="1" x14ac:dyDescent="0.25"/>
    <row r="154" s="17" customFormat="1" x14ac:dyDescent="0.25"/>
    <row r="155" s="17" customFormat="1" x14ac:dyDescent="0.25"/>
    <row r="156" s="17" customFormat="1" x14ac:dyDescent="0.25"/>
    <row r="157" s="17" customFormat="1" x14ac:dyDescent="0.25"/>
    <row r="158" s="17" customFormat="1" x14ac:dyDescent="0.25"/>
    <row r="159" s="17" customFormat="1" x14ac:dyDescent="0.25"/>
    <row r="160" s="17" customFormat="1" x14ac:dyDescent="0.25"/>
    <row r="161" s="17" customFormat="1" x14ac:dyDescent="0.25"/>
    <row r="162" s="17" customFormat="1" x14ac:dyDescent="0.25"/>
    <row r="163" s="17" customFormat="1" x14ac:dyDescent="0.25"/>
    <row r="164" s="17" customFormat="1" x14ac:dyDescent="0.25"/>
    <row r="165" s="17" customFormat="1" x14ac:dyDescent="0.25"/>
    <row r="166" s="17" customFormat="1" x14ac:dyDescent="0.25"/>
    <row r="167" s="17" customFormat="1" x14ac:dyDescent="0.25"/>
    <row r="168" s="17" customFormat="1" x14ac:dyDescent="0.25"/>
    <row r="169" s="17" customFormat="1" x14ac:dyDescent="0.25"/>
    <row r="170" s="17" customFormat="1" x14ac:dyDescent="0.25"/>
    <row r="171" s="17" customFormat="1" x14ac:dyDescent="0.25"/>
    <row r="172" s="17" customFormat="1" x14ac:dyDescent="0.25"/>
    <row r="173" s="17" customFormat="1" x14ac:dyDescent="0.25"/>
    <row r="174" s="17" customFormat="1" x14ac:dyDescent="0.25"/>
    <row r="175" s="17" customFormat="1" x14ac:dyDescent="0.25"/>
    <row r="176" s="17" customFormat="1" x14ac:dyDescent="0.25"/>
    <row r="177" s="17" customFormat="1" x14ac:dyDescent="0.25"/>
    <row r="178" s="17" customFormat="1" x14ac:dyDescent="0.25"/>
    <row r="179" s="17" customFormat="1" x14ac:dyDescent="0.25"/>
    <row r="180" s="17" customFormat="1" x14ac:dyDescent="0.25"/>
    <row r="181" s="17" customFormat="1" x14ac:dyDescent="0.25"/>
    <row r="182" s="17" customFormat="1" x14ac:dyDescent="0.25"/>
    <row r="183" s="17" customFormat="1" x14ac:dyDescent="0.25"/>
    <row r="184" s="17" customFormat="1" x14ac:dyDescent="0.25"/>
    <row r="185" s="17" customFormat="1" x14ac:dyDescent="0.25"/>
    <row r="186" s="17" customFormat="1" x14ac:dyDescent="0.25"/>
    <row r="187" s="17" customFormat="1" x14ac:dyDescent="0.25"/>
    <row r="188" s="17" customFormat="1" x14ac:dyDescent="0.25"/>
    <row r="189" s="17" customFormat="1" x14ac:dyDescent="0.25"/>
    <row r="190" s="17" customFormat="1" x14ac:dyDescent="0.25"/>
    <row r="191" s="17" customFormat="1" x14ac:dyDescent="0.25"/>
    <row r="192" s="17" customFormat="1" x14ac:dyDescent="0.25"/>
    <row r="193" s="17" customFormat="1" x14ac:dyDescent="0.25"/>
    <row r="194" s="17" customFormat="1" x14ac:dyDescent="0.25"/>
    <row r="195" s="17" customFormat="1" x14ac:dyDescent="0.25"/>
    <row r="196" s="17" customFormat="1" x14ac:dyDescent="0.25"/>
    <row r="197" s="17" customFormat="1" x14ac:dyDescent="0.25"/>
    <row r="198" s="17" customFormat="1" x14ac:dyDescent="0.25"/>
    <row r="199" s="17" customFormat="1" x14ac:dyDescent="0.25"/>
    <row r="200" s="17" customFormat="1" x14ac:dyDescent="0.25"/>
    <row r="201" s="17" customFormat="1" x14ac:dyDescent="0.25"/>
    <row r="202" s="17" customFormat="1" x14ac:dyDescent="0.25"/>
    <row r="203" s="17" customFormat="1" x14ac:dyDescent="0.25"/>
    <row r="204" s="17" customFormat="1" x14ac:dyDescent="0.25"/>
    <row r="205" s="17" customFormat="1" x14ac:dyDescent="0.25"/>
    <row r="206" s="17" customFormat="1" x14ac:dyDescent="0.25"/>
    <row r="207" s="17" customFormat="1" x14ac:dyDescent="0.25"/>
    <row r="208" s="17" customFormat="1" x14ac:dyDescent="0.25"/>
    <row r="209" s="17" customFormat="1" x14ac:dyDescent="0.25"/>
    <row r="210" s="17" customFormat="1" x14ac:dyDescent="0.25"/>
    <row r="211" s="17" customFormat="1" x14ac:dyDescent="0.25"/>
    <row r="212" s="17" customFormat="1" x14ac:dyDescent="0.25"/>
    <row r="213" s="17" customFormat="1" x14ac:dyDescent="0.25"/>
    <row r="214" s="17" customFormat="1" x14ac:dyDescent="0.25"/>
    <row r="215" s="17" customFormat="1" x14ac:dyDescent="0.25"/>
    <row r="216" s="17" customFormat="1" x14ac:dyDescent="0.25"/>
    <row r="217" s="17" customFormat="1" x14ac:dyDescent="0.25"/>
    <row r="218" s="17" customFormat="1" x14ac:dyDescent="0.25"/>
    <row r="219" s="17" customFormat="1" x14ac:dyDescent="0.25"/>
    <row r="220" s="17" customFormat="1" x14ac:dyDescent="0.25"/>
    <row r="221" s="17" customFormat="1" x14ac:dyDescent="0.25"/>
    <row r="222" s="17" customFormat="1" x14ac:dyDescent="0.25"/>
    <row r="223" s="17" customFormat="1" x14ac:dyDescent="0.25"/>
    <row r="224" s="17" customFormat="1" x14ac:dyDescent="0.25"/>
    <row r="225" s="17" customFormat="1" x14ac:dyDescent="0.25"/>
    <row r="226" s="17" customFormat="1" x14ac:dyDescent="0.25"/>
    <row r="227" s="17" customFormat="1" x14ac:dyDescent="0.25"/>
    <row r="228" s="17" customFormat="1" x14ac:dyDescent="0.25"/>
    <row r="229" s="17" customFormat="1" x14ac:dyDescent="0.25"/>
    <row r="230" s="17" customFormat="1" x14ac:dyDescent="0.25"/>
    <row r="231" s="17" customFormat="1" x14ac:dyDescent="0.25"/>
    <row r="232" s="17" customFormat="1" x14ac:dyDescent="0.25"/>
    <row r="233" s="17" customFormat="1" x14ac:dyDescent="0.25"/>
    <row r="234" s="17" customFormat="1" x14ac:dyDescent="0.25"/>
    <row r="235" s="17" customFormat="1" x14ac:dyDescent="0.25"/>
    <row r="236" s="17" customFormat="1" x14ac:dyDescent="0.25"/>
    <row r="237" s="17" customFormat="1" x14ac:dyDescent="0.25"/>
    <row r="238" s="17" customFormat="1" x14ac:dyDescent="0.25"/>
    <row r="239" s="17" customFormat="1" x14ac:dyDescent="0.25"/>
    <row r="240" s="17" customFormat="1" x14ac:dyDescent="0.25"/>
    <row r="241" s="17" customFormat="1" x14ac:dyDescent="0.25"/>
    <row r="242" s="17" customFormat="1" x14ac:dyDescent="0.25"/>
    <row r="243" s="17" customFormat="1" x14ac:dyDescent="0.25"/>
    <row r="244" s="17" customFormat="1" x14ac:dyDescent="0.25"/>
    <row r="245" s="17" customFormat="1" x14ac:dyDescent="0.25"/>
    <row r="246" s="17" customFormat="1" x14ac:dyDescent="0.25"/>
    <row r="247" s="17" customFormat="1" x14ac:dyDescent="0.25"/>
    <row r="248" s="17" customFormat="1" x14ac:dyDescent="0.25"/>
    <row r="249" s="17" customFormat="1" x14ac:dyDescent="0.25"/>
    <row r="250" s="17" customFormat="1" x14ac:dyDescent="0.25"/>
    <row r="251" s="17" customFormat="1" x14ac:dyDescent="0.25"/>
    <row r="252" s="17" customFormat="1" x14ac:dyDescent="0.25"/>
    <row r="253" s="17" customFormat="1" x14ac:dyDescent="0.25"/>
    <row r="254" s="17" customFormat="1" x14ac:dyDescent="0.25"/>
    <row r="255" s="17" customFormat="1" x14ac:dyDescent="0.25"/>
    <row r="256" s="17" customFormat="1" x14ac:dyDescent="0.25"/>
    <row r="257" s="17" customFormat="1" x14ac:dyDescent="0.25"/>
    <row r="258" s="17" customFormat="1" x14ac:dyDescent="0.25"/>
    <row r="259" s="17" customFormat="1" x14ac:dyDescent="0.25"/>
    <row r="260" s="17" customFormat="1" x14ac:dyDescent="0.25"/>
    <row r="261" s="17" customFormat="1" x14ac:dyDescent="0.25"/>
    <row r="262" s="17" customFormat="1" x14ac:dyDescent="0.25"/>
    <row r="263" s="17" customFormat="1" x14ac:dyDescent="0.25"/>
    <row r="264" s="17" customFormat="1" x14ac:dyDescent="0.25"/>
    <row r="265" s="17" customFormat="1" x14ac:dyDescent="0.25"/>
    <row r="266" s="17" customFormat="1" x14ac:dyDescent="0.25"/>
    <row r="267" s="17" customFormat="1" x14ac:dyDescent="0.25"/>
    <row r="268" s="17" customFormat="1" x14ac:dyDescent="0.25"/>
    <row r="269" s="17" customFormat="1" x14ac:dyDescent="0.25"/>
    <row r="270" s="17" customFormat="1" x14ac:dyDescent="0.25"/>
    <row r="271" s="17" customFormat="1" x14ac:dyDescent="0.25"/>
    <row r="272" s="17" customFormat="1" x14ac:dyDescent="0.25"/>
    <row r="273" s="17" customFormat="1" x14ac:dyDescent="0.25"/>
    <row r="274" s="17" customFormat="1" x14ac:dyDescent="0.25"/>
    <row r="275" s="17" customFormat="1" x14ac:dyDescent="0.25"/>
    <row r="276" s="17" customFormat="1" x14ac:dyDescent="0.25"/>
    <row r="277" s="17" customFormat="1" x14ac:dyDescent="0.25"/>
    <row r="278" s="17" customFormat="1" x14ac:dyDescent="0.25"/>
    <row r="279" s="17" customFormat="1" x14ac:dyDescent="0.25"/>
    <row r="280" s="17" customFormat="1" x14ac:dyDescent="0.25"/>
    <row r="281" s="17" customFormat="1" x14ac:dyDescent="0.25"/>
    <row r="282" s="17" customFormat="1" x14ac:dyDescent="0.25"/>
    <row r="283" s="17" customFormat="1" x14ac:dyDescent="0.25"/>
    <row r="284" s="17" customFormat="1" x14ac:dyDescent="0.25"/>
    <row r="285" s="17" customFormat="1" x14ac:dyDescent="0.25"/>
    <row r="286" s="17" customFormat="1" x14ac:dyDescent="0.25"/>
    <row r="287" s="17" customFormat="1" x14ac:dyDescent="0.25"/>
    <row r="288" s="17" customFormat="1" x14ac:dyDescent="0.25"/>
    <row r="289" s="17" customFormat="1" x14ac:dyDescent="0.25"/>
    <row r="290" s="17" customFormat="1" x14ac:dyDescent="0.25"/>
    <row r="291" s="17" customFormat="1" x14ac:dyDescent="0.25"/>
    <row r="292" s="17" customFormat="1" x14ac:dyDescent="0.25"/>
    <row r="293" s="17" customFormat="1" x14ac:dyDescent="0.25"/>
    <row r="294" s="17" customFormat="1" x14ac:dyDescent="0.25"/>
    <row r="295" s="17" customFormat="1" x14ac:dyDescent="0.25"/>
    <row r="296" s="17" customFormat="1" x14ac:dyDescent="0.25"/>
    <row r="297" s="17" customFormat="1" x14ac:dyDescent="0.25"/>
    <row r="298" s="17" customFormat="1" x14ac:dyDescent="0.25"/>
    <row r="299" s="17" customFormat="1" x14ac:dyDescent="0.25"/>
    <row r="300" s="17" customFormat="1" x14ac:dyDescent="0.25"/>
    <row r="301" s="17" customFormat="1" x14ac:dyDescent="0.25"/>
    <row r="302" s="17" customFormat="1" x14ac:dyDescent="0.25"/>
    <row r="303" s="17" customFormat="1" x14ac:dyDescent="0.25"/>
    <row r="304" s="17" customFormat="1" x14ac:dyDescent="0.25"/>
    <row r="305" s="17" customFormat="1" x14ac:dyDescent="0.25"/>
    <row r="306" s="17" customFormat="1" x14ac:dyDescent="0.25"/>
    <row r="307" s="17" customFormat="1" x14ac:dyDescent="0.25"/>
    <row r="308" s="17" customFormat="1" x14ac:dyDescent="0.25"/>
    <row r="309" s="17" customFormat="1" x14ac:dyDescent="0.25"/>
    <row r="310" s="17" customFormat="1" x14ac:dyDescent="0.25"/>
    <row r="311" s="17" customFormat="1" x14ac:dyDescent="0.25"/>
    <row r="312" s="17" customFormat="1" x14ac:dyDescent="0.25"/>
    <row r="313" s="17" customFormat="1" x14ac:dyDescent="0.25"/>
    <row r="314" s="17" customFormat="1" x14ac:dyDescent="0.25"/>
    <row r="315" s="17" customFormat="1" x14ac:dyDescent="0.25"/>
    <row r="316" s="17" customFormat="1" x14ac:dyDescent="0.25"/>
    <row r="317" s="17" customFormat="1" x14ac:dyDescent="0.25"/>
    <row r="318" s="17" customFormat="1" x14ac:dyDescent="0.25"/>
    <row r="319" s="17" customFormat="1" x14ac:dyDescent="0.25"/>
    <row r="320" s="17" customFormat="1" x14ac:dyDescent="0.25"/>
    <row r="321" s="17" customFormat="1" x14ac:dyDescent="0.25"/>
    <row r="322" s="17" customFormat="1" x14ac:dyDescent="0.25"/>
    <row r="323" s="17" customFormat="1" x14ac:dyDescent="0.25"/>
    <row r="324" s="17" customFormat="1" x14ac:dyDescent="0.25"/>
    <row r="325" s="17" customFormat="1" x14ac:dyDescent="0.25"/>
    <row r="326" s="17" customFormat="1" x14ac:dyDescent="0.25"/>
    <row r="327" s="17" customFormat="1" x14ac:dyDescent="0.25"/>
    <row r="328" s="17" customFormat="1" x14ac:dyDescent="0.25"/>
    <row r="329" s="17" customFormat="1" x14ac:dyDescent="0.25"/>
    <row r="330" s="17" customFormat="1" x14ac:dyDescent="0.25"/>
    <row r="331" s="17" customFormat="1" x14ac:dyDescent="0.25"/>
    <row r="332" s="17" customFormat="1" x14ac:dyDescent="0.25"/>
    <row r="333" s="17" customFormat="1" x14ac:dyDescent="0.25"/>
    <row r="334" s="17" customFormat="1" x14ac:dyDescent="0.25"/>
    <row r="335" s="17" customFormat="1" x14ac:dyDescent="0.25"/>
    <row r="336" s="17" customFormat="1" x14ac:dyDescent="0.25"/>
    <row r="337" s="17" customFormat="1" x14ac:dyDescent="0.25"/>
    <row r="338" s="17" customFormat="1" x14ac:dyDescent="0.25"/>
    <row r="339" s="17" customFormat="1" x14ac:dyDescent="0.25"/>
    <row r="340" s="17" customFormat="1" x14ac:dyDescent="0.25"/>
    <row r="341" s="17" customFormat="1" x14ac:dyDescent="0.25"/>
    <row r="342" s="17" customFormat="1" x14ac:dyDescent="0.25"/>
    <row r="343" s="17" customFormat="1" x14ac:dyDescent="0.25"/>
    <row r="344" s="17" customFormat="1" x14ac:dyDescent="0.25"/>
    <row r="345" s="17" customFormat="1" x14ac:dyDescent="0.25"/>
    <row r="346" s="17" customFormat="1" x14ac:dyDescent="0.25"/>
    <row r="347" s="17" customFormat="1" x14ac:dyDescent="0.25"/>
    <row r="348" s="17" customFormat="1" x14ac:dyDescent="0.25"/>
    <row r="349" s="17" customFormat="1" x14ac:dyDescent="0.25"/>
    <row r="350" s="17" customFormat="1" x14ac:dyDescent="0.25"/>
    <row r="351" s="17" customFormat="1" x14ac:dyDescent="0.25"/>
    <row r="352" s="17" customFormat="1" x14ac:dyDescent="0.25"/>
    <row r="353" s="17" customFormat="1" x14ac:dyDescent="0.25"/>
    <row r="354" s="17" customFormat="1" x14ac:dyDescent="0.25"/>
    <row r="355" s="17" customFormat="1" x14ac:dyDescent="0.25"/>
    <row r="356" s="17" customFormat="1" x14ac:dyDescent="0.25"/>
    <row r="357" s="17" customFormat="1" x14ac:dyDescent="0.25"/>
    <row r="358" s="17" customFormat="1" x14ac:dyDescent="0.25"/>
    <row r="359" s="17" customFormat="1" x14ac:dyDescent="0.25"/>
    <row r="360" s="17" customFormat="1" x14ac:dyDescent="0.25"/>
    <row r="361" s="17" customFormat="1" x14ac:dyDescent="0.25"/>
    <row r="362" s="17" customFormat="1" x14ac:dyDescent="0.25"/>
    <row r="363" s="17" customFormat="1" x14ac:dyDescent="0.25"/>
    <row r="364" s="17" customFormat="1" x14ac:dyDescent="0.25"/>
    <row r="365" s="17" customFormat="1" x14ac:dyDescent="0.25"/>
    <row r="366" s="17" customFormat="1" x14ac:dyDescent="0.25"/>
    <row r="367" s="17" customFormat="1" x14ac:dyDescent="0.25"/>
    <row r="368" s="17" customFormat="1" x14ac:dyDescent="0.25"/>
    <row r="369" s="17" customFormat="1" x14ac:dyDescent="0.25"/>
    <row r="370" s="17" customFormat="1" x14ac:dyDescent="0.25"/>
    <row r="371" s="17" customFormat="1" x14ac:dyDescent="0.25"/>
    <row r="372" s="17" customFormat="1" x14ac:dyDescent="0.25"/>
    <row r="373" s="17" customFormat="1" x14ac:dyDescent="0.25"/>
    <row r="374" s="17" customFormat="1" x14ac:dyDescent="0.25"/>
    <row r="375" s="17" customFormat="1" x14ac:dyDescent="0.25"/>
    <row r="376" s="17" customFormat="1" x14ac:dyDescent="0.25"/>
    <row r="377" s="17" customFormat="1" x14ac:dyDescent="0.25"/>
    <row r="378" s="17" customFormat="1" x14ac:dyDescent="0.25"/>
    <row r="379" s="17" customFormat="1" x14ac:dyDescent="0.25"/>
    <row r="380" s="17" customFormat="1" x14ac:dyDescent="0.25"/>
    <row r="381" s="17" customFormat="1" x14ac:dyDescent="0.25"/>
    <row r="382" s="17" customFormat="1" x14ac:dyDescent="0.25"/>
    <row r="383" s="17" customFormat="1" x14ac:dyDescent="0.25"/>
    <row r="384" s="17" customFormat="1" x14ac:dyDescent="0.25"/>
    <row r="385" s="17" customFormat="1" x14ac:dyDescent="0.25"/>
    <row r="386" s="17" customFormat="1" x14ac:dyDescent="0.25"/>
    <row r="387" s="17" customFormat="1" x14ac:dyDescent="0.25"/>
    <row r="388" s="17" customFormat="1" x14ac:dyDescent="0.25"/>
    <row r="389" s="17" customFormat="1" x14ac:dyDescent="0.25"/>
    <row r="390" s="17" customFormat="1" x14ac:dyDescent="0.25"/>
    <row r="391" s="17" customFormat="1" x14ac:dyDescent="0.25"/>
    <row r="392" s="17" customFormat="1" x14ac:dyDescent="0.25"/>
    <row r="393" s="17" customFormat="1" x14ac:dyDescent="0.25"/>
    <row r="394" s="17" customFormat="1" x14ac:dyDescent="0.25"/>
    <row r="395" s="17" customFormat="1" x14ac:dyDescent="0.25"/>
    <row r="396" s="17" customFormat="1" x14ac:dyDescent="0.25"/>
    <row r="397" s="17" customFormat="1" x14ac:dyDescent="0.25"/>
    <row r="398" s="17" customFormat="1" x14ac:dyDescent="0.25"/>
    <row r="399" s="17" customFormat="1" x14ac:dyDescent="0.25"/>
    <row r="400" s="17" customFormat="1" x14ac:dyDescent="0.25"/>
    <row r="401" s="17" customFormat="1" x14ac:dyDescent="0.25"/>
    <row r="402" s="17" customFormat="1" x14ac:dyDescent="0.25"/>
    <row r="403" s="17" customFormat="1" x14ac:dyDescent="0.25"/>
    <row r="404" s="17" customFormat="1" x14ac:dyDescent="0.25"/>
    <row r="405" s="17" customFormat="1" x14ac:dyDescent="0.25"/>
    <row r="406" s="17" customFormat="1" x14ac:dyDescent="0.25"/>
    <row r="407" s="17" customFormat="1" x14ac:dyDescent="0.25"/>
    <row r="408" s="17" customFormat="1" x14ac:dyDescent="0.25"/>
    <row r="409" s="17" customFormat="1" x14ac:dyDescent="0.25"/>
    <row r="410" s="17" customFormat="1" x14ac:dyDescent="0.25"/>
    <row r="411" s="17" customFormat="1" x14ac:dyDescent="0.25"/>
    <row r="412" s="17" customFormat="1" x14ac:dyDescent="0.25"/>
    <row r="413" s="17" customFormat="1" x14ac:dyDescent="0.25"/>
    <row r="414" s="17" customFormat="1" x14ac:dyDescent="0.25"/>
    <row r="415" s="17" customFormat="1" x14ac:dyDescent="0.25"/>
    <row r="416" s="17" customFormat="1" x14ac:dyDescent="0.25"/>
    <row r="417" s="17" customFormat="1" x14ac:dyDescent="0.25"/>
    <row r="418" s="17" customFormat="1" x14ac:dyDescent="0.25"/>
    <row r="419" s="17" customFormat="1" x14ac:dyDescent="0.25"/>
    <row r="420" s="17" customFormat="1" x14ac:dyDescent="0.25"/>
    <row r="421" s="17" customFormat="1" x14ac:dyDescent="0.25"/>
    <row r="422" s="17" customFormat="1" x14ac:dyDescent="0.25"/>
    <row r="423" s="17" customFormat="1" x14ac:dyDescent="0.25"/>
    <row r="424" s="17" customFormat="1" x14ac:dyDescent="0.25"/>
    <row r="425" s="17" customFormat="1" x14ac:dyDescent="0.25"/>
    <row r="426" s="17" customFormat="1" x14ac:dyDescent="0.25"/>
    <row r="427" s="17" customFormat="1" x14ac:dyDescent="0.25"/>
    <row r="428" s="17" customFormat="1" x14ac:dyDescent="0.25"/>
    <row r="429" s="17" customFormat="1" x14ac:dyDescent="0.25"/>
    <row r="430" s="17" customFormat="1" x14ac:dyDescent="0.25"/>
    <row r="431" s="17" customFormat="1" x14ac:dyDescent="0.25"/>
    <row r="432" s="17" customFormat="1" x14ac:dyDescent="0.25"/>
    <row r="433" s="17" customFormat="1" x14ac:dyDescent="0.25"/>
    <row r="434" s="17" customFormat="1" x14ac:dyDescent="0.25"/>
    <row r="435" s="17" customFormat="1" x14ac:dyDescent="0.25"/>
    <row r="436" s="17" customFormat="1" x14ac:dyDescent="0.25"/>
    <row r="437" s="17" customFormat="1" x14ac:dyDescent="0.25"/>
    <row r="438" s="17" customFormat="1" x14ac:dyDescent="0.25"/>
    <row r="439" s="17" customFormat="1" x14ac:dyDescent="0.25"/>
    <row r="440" s="17" customFormat="1" x14ac:dyDescent="0.25"/>
    <row r="441" s="17" customFormat="1" x14ac:dyDescent="0.25"/>
    <row r="442" s="17" customFormat="1" x14ac:dyDescent="0.25"/>
    <row r="443" s="17" customFormat="1" x14ac:dyDescent="0.25"/>
    <row r="444" s="17" customFormat="1" x14ac:dyDescent="0.25"/>
    <row r="445" s="17" customFormat="1" x14ac:dyDescent="0.25"/>
    <row r="446" s="17" customFormat="1" x14ac:dyDescent="0.25"/>
    <row r="447" s="17" customFormat="1" x14ac:dyDescent="0.25"/>
    <row r="448" s="17" customFormat="1" x14ac:dyDescent="0.25"/>
    <row r="449" s="17" customFormat="1" x14ac:dyDescent="0.25"/>
    <row r="450" s="17" customFormat="1" x14ac:dyDescent="0.25"/>
    <row r="451" s="17" customFormat="1" x14ac:dyDescent="0.25"/>
    <row r="452" s="17" customFormat="1" x14ac:dyDescent="0.25"/>
    <row r="453" s="17" customFormat="1" x14ac:dyDescent="0.25"/>
    <row r="454" s="17" customFormat="1" x14ac:dyDescent="0.25"/>
    <row r="455" s="17" customFormat="1" x14ac:dyDescent="0.25"/>
    <row r="456" s="17" customFormat="1" x14ac:dyDescent="0.25"/>
    <row r="457" s="17" customFormat="1" x14ac:dyDescent="0.25"/>
    <row r="458" s="17" customFormat="1" x14ac:dyDescent="0.25"/>
    <row r="459" s="17" customFormat="1" x14ac:dyDescent="0.25"/>
    <row r="460" s="17" customFormat="1" x14ac:dyDescent="0.25"/>
    <row r="461" s="17" customFormat="1" x14ac:dyDescent="0.25"/>
    <row r="462" s="17" customFormat="1" x14ac:dyDescent="0.25"/>
    <row r="463" s="17" customFormat="1" x14ac:dyDescent="0.25"/>
    <row r="464" s="17" customFormat="1" x14ac:dyDescent="0.25"/>
    <row r="465" s="17" customFormat="1" x14ac:dyDescent="0.25"/>
    <row r="466" s="17" customFormat="1" x14ac:dyDescent="0.25"/>
    <row r="467" s="17" customFormat="1" x14ac:dyDescent="0.25"/>
    <row r="468" s="17" customFormat="1" x14ac:dyDescent="0.25"/>
    <row r="469" s="17" customFormat="1" x14ac:dyDescent="0.25"/>
    <row r="470" s="17" customFormat="1" x14ac:dyDescent="0.25"/>
    <row r="471" s="17" customFormat="1" x14ac:dyDescent="0.25"/>
    <row r="472" s="17" customFormat="1" x14ac:dyDescent="0.25"/>
    <row r="473" s="17" customFormat="1" x14ac:dyDescent="0.25"/>
    <row r="474" s="17" customFormat="1" x14ac:dyDescent="0.25"/>
    <row r="475" s="17" customFormat="1" x14ac:dyDescent="0.25"/>
    <row r="476" s="17" customFormat="1" x14ac:dyDescent="0.25"/>
    <row r="477" s="17" customFormat="1" x14ac:dyDescent="0.25"/>
    <row r="478" s="17" customFormat="1" x14ac:dyDescent="0.25"/>
    <row r="479" s="17" customFormat="1" x14ac:dyDescent="0.25"/>
    <row r="480" s="17" customFormat="1" x14ac:dyDescent="0.25"/>
    <row r="481" s="17" customFormat="1" x14ac:dyDescent="0.25"/>
    <row r="482" s="17" customFormat="1" x14ac:dyDescent="0.25"/>
    <row r="483" s="17" customFormat="1" x14ac:dyDescent="0.25"/>
    <row r="484" s="17" customFormat="1" x14ac:dyDescent="0.25"/>
    <row r="485" s="17" customFormat="1" x14ac:dyDescent="0.25"/>
    <row r="486" s="17" customFormat="1" x14ac:dyDescent="0.25"/>
    <row r="487" s="17" customFormat="1" x14ac:dyDescent="0.25"/>
    <row r="488" s="17" customFormat="1" x14ac:dyDescent="0.25"/>
    <row r="489" s="17" customFormat="1" x14ac:dyDescent="0.25"/>
    <row r="490" s="17" customFormat="1" x14ac:dyDescent="0.25"/>
    <row r="491" s="17" customFormat="1" x14ac:dyDescent="0.25"/>
    <row r="492" s="17" customFormat="1" x14ac:dyDescent="0.25"/>
    <row r="493" s="17" customFormat="1" x14ac:dyDescent="0.25"/>
    <row r="494" s="17" customFormat="1" x14ac:dyDescent="0.25"/>
    <row r="495" s="17" customFormat="1" x14ac:dyDescent="0.25"/>
    <row r="496" s="17" customFormat="1" x14ac:dyDescent="0.25"/>
    <row r="497" s="17" customFormat="1" x14ac:dyDescent="0.25"/>
    <row r="498" s="17" customFormat="1" x14ac:dyDescent="0.25"/>
    <row r="499" s="17" customFormat="1" x14ac:dyDescent="0.25"/>
    <row r="500" s="17" customFormat="1" x14ac:dyDescent="0.25"/>
    <row r="501" s="17" customFormat="1" x14ac:dyDescent="0.25"/>
    <row r="502" s="17" customFormat="1" x14ac:dyDescent="0.25"/>
    <row r="503" s="17" customFormat="1" x14ac:dyDescent="0.25"/>
    <row r="504" s="17" customFormat="1" x14ac:dyDescent="0.25"/>
    <row r="505" s="17" customFormat="1" x14ac:dyDescent="0.25"/>
    <row r="506" s="17" customFormat="1" x14ac:dyDescent="0.25"/>
    <row r="507" s="17" customFormat="1" x14ac:dyDescent="0.25"/>
    <row r="508" s="17" customFormat="1" x14ac:dyDescent="0.25"/>
    <row r="509" s="17" customFormat="1" x14ac:dyDescent="0.25"/>
    <row r="510" s="17" customFormat="1" x14ac:dyDescent="0.25"/>
    <row r="511" s="17" customFormat="1" x14ac:dyDescent="0.25"/>
    <row r="512" s="17" customFormat="1" x14ac:dyDescent="0.25"/>
    <row r="513" s="17" customFormat="1" x14ac:dyDescent="0.25"/>
    <row r="514" s="17" customFormat="1" x14ac:dyDescent="0.25"/>
    <row r="515" s="17" customFormat="1" x14ac:dyDescent="0.25"/>
    <row r="516" s="17" customFormat="1" x14ac:dyDescent="0.25"/>
    <row r="517" s="17" customFormat="1" x14ac:dyDescent="0.25"/>
    <row r="518" s="17" customFormat="1" x14ac:dyDescent="0.25"/>
    <row r="519" s="17" customFormat="1" x14ac:dyDescent="0.25"/>
    <row r="520" s="17" customFormat="1" x14ac:dyDescent="0.25"/>
    <row r="521" s="17" customFormat="1" x14ac:dyDescent="0.25"/>
    <row r="522" s="17" customFormat="1" x14ac:dyDescent="0.25"/>
    <row r="523" s="17" customFormat="1" x14ac:dyDescent="0.25"/>
    <row r="524" s="17" customFormat="1" x14ac:dyDescent="0.25"/>
    <row r="525" s="17" customFormat="1" x14ac:dyDescent="0.25"/>
    <row r="526" s="17" customFormat="1" x14ac:dyDescent="0.25"/>
    <row r="527" s="17" customFormat="1" x14ac:dyDescent="0.25"/>
    <row r="528" s="17" customFormat="1" x14ac:dyDescent="0.25"/>
    <row r="529" s="17" customFormat="1" x14ac:dyDescent="0.25"/>
    <row r="530" s="17" customFormat="1" x14ac:dyDescent="0.25"/>
    <row r="531" s="17" customFormat="1" x14ac:dyDescent="0.25"/>
    <row r="532" s="17" customFormat="1" x14ac:dyDescent="0.25"/>
    <row r="533" s="17" customFormat="1" x14ac:dyDescent="0.25"/>
    <row r="534" s="17" customFormat="1" x14ac:dyDescent="0.25"/>
    <row r="535" s="17" customFormat="1" x14ac:dyDescent="0.25"/>
    <row r="536" s="17" customFormat="1" x14ac:dyDescent="0.25"/>
    <row r="537" s="17" customFormat="1" x14ac:dyDescent="0.25"/>
    <row r="538" s="17" customFormat="1" x14ac:dyDescent="0.25"/>
    <row r="539" s="17" customFormat="1" x14ac:dyDescent="0.25"/>
    <row r="540" s="17" customFormat="1" x14ac:dyDescent="0.25"/>
    <row r="541" s="17" customFormat="1" x14ac:dyDescent="0.25"/>
    <row r="542" s="17" customFormat="1" x14ac:dyDescent="0.25"/>
    <row r="543" s="17" customFormat="1" x14ac:dyDescent="0.25"/>
    <row r="544" s="17" customFormat="1" x14ac:dyDescent="0.25"/>
    <row r="545" s="17" customFormat="1" x14ac:dyDescent="0.25"/>
    <row r="546" s="17" customFormat="1" x14ac:dyDescent="0.25"/>
    <row r="547" s="17" customFormat="1" x14ac:dyDescent="0.25"/>
    <row r="548" s="17" customFormat="1" x14ac:dyDescent="0.25"/>
    <row r="549" s="17" customFormat="1" x14ac:dyDescent="0.25"/>
    <row r="550" s="17" customFormat="1" x14ac:dyDescent="0.25"/>
    <row r="551" s="17" customFormat="1" x14ac:dyDescent="0.25"/>
    <row r="552" s="17" customFormat="1" x14ac:dyDescent="0.25"/>
    <row r="553" s="17" customFormat="1" x14ac:dyDescent="0.25"/>
    <row r="554" s="17" customFormat="1" x14ac:dyDescent="0.25"/>
    <row r="555" s="17" customFormat="1" x14ac:dyDescent="0.25"/>
    <row r="556" s="17" customFormat="1" x14ac:dyDescent="0.25"/>
    <row r="557" s="17" customFormat="1" x14ac:dyDescent="0.25"/>
    <row r="558" s="17" customFormat="1" x14ac:dyDescent="0.25"/>
    <row r="559" s="17" customFormat="1" x14ac:dyDescent="0.25"/>
    <row r="560" s="17" customFormat="1" x14ac:dyDescent="0.25"/>
    <row r="561" s="17" customFormat="1" x14ac:dyDescent="0.25"/>
    <row r="562" s="17" customFormat="1" x14ac:dyDescent="0.25"/>
    <row r="563" s="17" customFormat="1" x14ac:dyDescent="0.25"/>
    <row r="564" s="17" customFormat="1" x14ac:dyDescent="0.25"/>
    <row r="565" s="17" customFormat="1" x14ac:dyDescent="0.25"/>
    <row r="566" s="17" customFormat="1" x14ac:dyDescent="0.25"/>
    <row r="567" s="17" customFormat="1" x14ac:dyDescent="0.25"/>
    <row r="568" s="17" customFormat="1" x14ac:dyDescent="0.25"/>
    <row r="569" s="17" customFormat="1" x14ac:dyDescent="0.25"/>
    <row r="570" s="17" customFormat="1" x14ac:dyDescent="0.25"/>
    <row r="571" s="17" customFormat="1" x14ac:dyDescent="0.25"/>
    <row r="572" s="17" customFormat="1" x14ac:dyDescent="0.25"/>
    <row r="573" s="17" customFormat="1" x14ac:dyDescent="0.25"/>
    <row r="574" s="17" customFormat="1" x14ac:dyDescent="0.25"/>
    <row r="575" s="17" customFormat="1" x14ac:dyDescent="0.25"/>
    <row r="576" s="17" customFormat="1" x14ac:dyDescent="0.25"/>
    <row r="577" s="17" customFormat="1" x14ac:dyDescent="0.25"/>
    <row r="578" s="17" customFormat="1" x14ac:dyDescent="0.25"/>
    <row r="579" s="17" customFormat="1" x14ac:dyDescent="0.25"/>
    <row r="580" s="17" customFormat="1" x14ac:dyDescent="0.25"/>
    <row r="581" s="17" customFormat="1" x14ac:dyDescent="0.25"/>
    <row r="582" s="17" customFormat="1" x14ac:dyDescent="0.25"/>
    <row r="583" s="17" customFormat="1" x14ac:dyDescent="0.25"/>
    <row r="584" s="17" customFormat="1" x14ac:dyDescent="0.25"/>
    <row r="585" s="17" customFormat="1" x14ac:dyDescent="0.25"/>
    <row r="586" s="17" customFormat="1" x14ac:dyDescent="0.25"/>
    <row r="587" s="17" customFormat="1" x14ac:dyDescent="0.25"/>
    <row r="588" s="17" customFormat="1" x14ac:dyDescent="0.25"/>
    <row r="589" s="17" customFormat="1" x14ac:dyDescent="0.25"/>
    <row r="590" s="17" customFormat="1" x14ac:dyDescent="0.25"/>
    <row r="591" s="17" customFormat="1" x14ac:dyDescent="0.25"/>
    <row r="592" s="17" customFormat="1" x14ac:dyDescent="0.25"/>
    <row r="593" s="17" customFormat="1" x14ac:dyDescent="0.25"/>
    <row r="594" s="17" customFormat="1" x14ac:dyDescent="0.25"/>
    <row r="595" s="17" customFormat="1" x14ac:dyDescent="0.25"/>
    <row r="596" s="17" customFormat="1" x14ac:dyDescent="0.25"/>
    <row r="597" s="17" customFormat="1" x14ac:dyDescent="0.25"/>
    <row r="598" s="17" customFormat="1" x14ac:dyDescent="0.25"/>
    <row r="599" s="17" customFormat="1" x14ac:dyDescent="0.25"/>
    <row r="600" s="17" customFormat="1" x14ac:dyDescent="0.25"/>
    <row r="601" s="17" customFormat="1" x14ac:dyDescent="0.25"/>
    <row r="602" s="17" customFormat="1" x14ac:dyDescent="0.25"/>
    <row r="603" s="17" customFormat="1" x14ac:dyDescent="0.25"/>
    <row r="604" s="17" customFormat="1" x14ac:dyDescent="0.25"/>
    <row r="605" s="17" customFormat="1" x14ac:dyDescent="0.25"/>
    <row r="606" s="17" customFormat="1" x14ac:dyDescent="0.25"/>
    <row r="607" s="17" customFormat="1" x14ac:dyDescent="0.25"/>
    <row r="608" s="17" customFormat="1" x14ac:dyDescent="0.25"/>
    <row r="609" s="17" customFormat="1" x14ac:dyDescent="0.25"/>
    <row r="610" s="17" customFormat="1" x14ac:dyDescent="0.25"/>
    <row r="611" s="17" customFormat="1" x14ac:dyDescent="0.25"/>
    <row r="612" s="17" customFormat="1" x14ac:dyDescent="0.25"/>
    <row r="613" s="17" customFormat="1" x14ac:dyDescent="0.25"/>
    <row r="614" s="17" customFormat="1" x14ac:dyDescent="0.25"/>
    <row r="615" s="17" customFormat="1" x14ac:dyDescent="0.25"/>
    <row r="616" s="17" customFormat="1" x14ac:dyDescent="0.25"/>
    <row r="617" s="17" customFormat="1" x14ac:dyDescent="0.25"/>
    <row r="618" s="17" customFormat="1" x14ac:dyDescent="0.25"/>
    <row r="619" s="17" customFormat="1" x14ac:dyDescent="0.25"/>
    <row r="620" s="17" customFormat="1" x14ac:dyDescent="0.25"/>
    <row r="621" s="17" customFormat="1" x14ac:dyDescent="0.25"/>
    <row r="622" s="17" customFormat="1" x14ac:dyDescent="0.25"/>
    <row r="623" s="17" customFormat="1" x14ac:dyDescent="0.25"/>
    <row r="624" s="17" customFormat="1" x14ac:dyDescent="0.25"/>
    <row r="625" s="17" customFormat="1" x14ac:dyDescent="0.25"/>
    <row r="626" s="17" customFormat="1" x14ac:dyDescent="0.25"/>
    <row r="627" s="17" customFormat="1" x14ac:dyDescent="0.25"/>
    <row r="628" s="17" customFormat="1" x14ac:dyDescent="0.25"/>
    <row r="629" s="17" customFormat="1" x14ac:dyDescent="0.25"/>
    <row r="630" s="17" customFormat="1" x14ac:dyDescent="0.25"/>
    <row r="631" s="17" customFormat="1" x14ac:dyDescent="0.25"/>
    <row r="632" s="17" customFormat="1" x14ac:dyDescent="0.25"/>
    <row r="633" s="17" customFormat="1" x14ac:dyDescent="0.25"/>
    <row r="634" s="17" customFormat="1" x14ac:dyDescent="0.25"/>
    <row r="635" s="17" customFormat="1" x14ac:dyDescent="0.25"/>
    <row r="636" s="17" customFormat="1" x14ac:dyDescent="0.25"/>
    <row r="637" s="17" customFormat="1" x14ac:dyDescent="0.25"/>
    <row r="638" s="17" customFormat="1" x14ac:dyDescent="0.25"/>
    <row r="639" s="17" customFormat="1" x14ac:dyDescent="0.25"/>
    <row r="640" s="17" customFormat="1" x14ac:dyDescent="0.25"/>
    <row r="641" s="17" customFormat="1" x14ac:dyDescent="0.25"/>
    <row r="642" s="17" customFormat="1" x14ac:dyDescent="0.25"/>
    <row r="643" s="17" customFormat="1" x14ac:dyDescent="0.25"/>
    <row r="644" s="17" customFormat="1" x14ac:dyDescent="0.25"/>
    <row r="645" s="17" customFormat="1" x14ac:dyDescent="0.25"/>
    <row r="646" s="17" customFormat="1" x14ac:dyDescent="0.25"/>
    <row r="647" s="17" customFormat="1" x14ac:dyDescent="0.25"/>
    <row r="648" s="17" customFormat="1" x14ac:dyDescent="0.25"/>
    <row r="649" s="17" customFormat="1" x14ac:dyDescent="0.25"/>
    <row r="650" s="17" customFormat="1" x14ac:dyDescent="0.25"/>
    <row r="651" s="17" customFormat="1" x14ac:dyDescent="0.25"/>
    <row r="652" s="17" customFormat="1" x14ac:dyDescent="0.25"/>
    <row r="653" s="17" customFormat="1" x14ac:dyDescent="0.25"/>
    <row r="654" s="17" customFormat="1" x14ac:dyDescent="0.25"/>
    <row r="655" s="17" customFormat="1" x14ac:dyDescent="0.25"/>
    <row r="656" s="17" customFormat="1" x14ac:dyDescent="0.25"/>
    <row r="657" s="17" customFormat="1" x14ac:dyDescent="0.25"/>
    <row r="658" s="17" customFormat="1" x14ac:dyDescent="0.25"/>
    <row r="659" s="17" customFormat="1" x14ac:dyDescent="0.25"/>
    <row r="660" s="17" customFormat="1" x14ac:dyDescent="0.25"/>
    <row r="661" s="17" customFormat="1" x14ac:dyDescent="0.25"/>
    <row r="662" s="17" customFormat="1" x14ac:dyDescent="0.25"/>
    <row r="663" s="17" customFormat="1" x14ac:dyDescent="0.25"/>
    <row r="664" s="17" customFormat="1" x14ac:dyDescent="0.25"/>
    <row r="665" s="17" customFormat="1" x14ac:dyDescent="0.25"/>
    <row r="666" s="17" customFormat="1" x14ac:dyDescent="0.25"/>
    <row r="667" s="17" customFormat="1" x14ac:dyDescent="0.25"/>
    <row r="668" s="17" customFormat="1" x14ac:dyDescent="0.25"/>
    <row r="669" s="17" customFormat="1" x14ac:dyDescent="0.25"/>
    <row r="670" s="17" customFormat="1" x14ac:dyDescent="0.25"/>
    <row r="671" s="17" customFormat="1" x14ac:dyDescent="0.25"/>
    <row r="672" s="17" customFormat="1" x14ac:dyDescent="0.25"/>
    <row r="673" s="17" customFormat="1" x14ac:dyDescent="0.25"/>
    <row r="674" s="17" customFormat="1" x14ac:dyDescent="0.25"/>
    <row r="675" s="17" customFormat="1" x14ac:dyDescent="0.25"/>
    <row r="676" s="17" customFormat="1" x14ac:dyDescent="0.25"/>
    <row r="677" s="17" customFormat="1" x14ac:dyDescent="0.25"/>
    <row r="678" s="17" customFormat="1" x14ac:dyDescent="0.25"/>
    <row r="679" s="17" customFormat="1" x14ac:dyDescent="0.25"/>
    <row r="680" s="17" customFormat="1" x14ac:dyDescent="0.25"/>
    <row r="681" s="17" customFormat="1" x14ac:dyDescent="0.25"/>
    <row r="682" s="17" customFormat="1" x14ac:dyDescent="0.25"/>
    <row r="683" s="17" customFormat="1" x14ac:dyDescent="0.25"/>
    <row r="684" s="17" customFormat="1" x14ac:dyDescent="0.25"/>
    <row r="685" s="17" customFormat="1" x14ac:dyDescent="0.25"/>
    <row r="686" s="17" customFormat="1" x14ac:dyDescent="0.25"/>
    <row r="687" s="17" customFormat="1" x14ac:dyDescent="0.25"/>
    <row r="688" s="17" customFormat="1" x14ac:dyDescent="0.25"/>
    <row r="689" s="17" customFormat="1" x14ac:dyDescent="0.25"/>
    <row r="690" s="17" customFormat="1" x14ac:dyDescent="0.25"/>
    <row r="691" s="17" customFormat="1" x14ac:dyDescent="0.25"/>
    <row r="692" s="17" customFormat="1" x14ac:dyDescent="0.25"/>
    <row r="693" s="17" customFormat="1" x14ac:dyDescent="0.25"/>
    <row r="694" s="17" customFormat="1" x14ac:dyDescent="0.25"/>
    <row r="695" s="17" customFormat="1" x14ac:dyDescent="0.25"/>
    <row r="696" s="17" customFormat="1" x14ac:dyDescent="0.25"/>
    <row r="697" s="17" customFormat="1" x14ac:dyDescent="0.25"/>
    <row r="698" s="17" customFormat="1" x14ac:dyDescent="0.25"/>
    <row r="699" s="17" customFormat="1" x14ac:dyDescent="0.25"/>
    <row r="700" s="17" customFormat="1" x14ac:dyDescent="0.25"/>
    <row r="701" s="17" customFormat="1" x14ac:dyDescent="0.25"/>
    <row r="702" s="17" customFormat="1" x14ac:dyDescent="0.25"/>
    <row r="703" s="17" customFormat="1" x14ac:dyDescent="0.25"/>
    <row r="704" s="17" customFormat="1" x14ac:dyDescent="0.25"/>
    <row r="705" s="17" customFormat="1" x14ac:dyDescent="0.25"/>
    <row r="706" s="17" customFormat="1" x14ac:dyDescent="0.25"/>
    <row r="707" s="17" customFormat="1" x14ac:dyDescent="0.25"/>
    <row r="708" s="17" customFormat="1" x14ac:dyDescent="0.25"/>
    <row r="709" s="17" customFormat="1" x14ac:dyDescent="0.25"/>
    <row r="710" s="17" customFormat="1" x14ac:dyDescent="0.25"/>
    <row r="711" s="17" customFormat="1" x14ac:dyDescent="0.25"/>
    <row r="712" s="17" customFormat="1" x14ac:dyDescent="0.25"/>
    <row r="713" s="17" customFormat="1" x14ac:dyDescent="0.25"/>
    <row r="714" s="17" customFormat="1" x14ac:dyDescent="0.25"/>
    <row r="715" s="17" customFormat="1" x14ac:dyDescent="0.25"/>
    <row r="716" s="17" customFormat="1" x14ac:dyDescent="0.25"/>
    <row r="717" s="17" customFormat="1" x14ac:dyDescent="0.25"/>
    <row r="718" s="17" customFormat="1" x14ac:dyDescent="0.25"/>
    <row r="719" s="17" customFormat="1" x14ac:dyDescent="0.25"/>
    <row r="720" s="17" customFormat="1" x14ac:dyDescent="0.25"/>
    <row r="721" s="17" customFormat="1" x14ac:dyDescent="0.25"/>
    <row r="722" s="17" customFormat="1" x14ac:dyDescent="0.25"/>
    <row r="723" s="17" customFormat="1" x14ac:dyDescent="0.25"/>
    <row r="724" s="17" customFormat="1" x14ac:dyDescent="0.25"/>
    <row r="725" s="17" customFormat="1" x14ac:dyDescent="0.25"/>
    <row r="726" s="17" customFormat="1" x14ac:dyDescent="0.25"/>
    <row r="727" s="17" customFormat="1" x14ac:dyDescent="0.25"/>
    <row r="728" s="17" customFormat="1" x14ac:dyDescent="0.25"/>
    <row r="729" s="17" customFormat="1" x14ac:dyDescent="0.25"/>
    <row r="730" s="17" customFormat="1" x14ac:dyDescent="0.25"/>
    <row r="731" s="17" customFormat="1" x14ac:dyDescent="0.25"/>
    <row r="732" s="17" customFormat="1" x14ac:dyDescent="0.25"/>
    <row r="733" s="17" customFormat="1" x14ac:dyDescent="0.25"/>
    <row r="734" s="17" customFormat="1" x14ac:dyDescent="0.25"/>
    <row r="735" s="17" customFormat="1" x14ac:dyDescent="0.25"/>
    <row r="736" s="17" customFormat="1" x14ac:dyDescent="0.25"/>
    <row r="737" s="17" customFormat="1" x14ac:dyDescent="0.25"/>
    <row r="738" s="17" customFormat="1" x14ac:dyDescent="0.25"/>
    <row r="739" s="17" customFormat="1" x14ac:dyDescent="0.25"/>
    <row r="740" s="17" customFormat="1" x14ac:dyDescent="0.25"/>
    <row r="741" s="17" customFormat="1" x14ac:dyDescent="0.25"/>
    <row r="742" s="17" customFormat="1" x14ac:dyDescent="0.25"/>
    <row r="743" s="17" customFormat="1" x14ac:dyDescent="0.25"/>
    <row r="744" s="17" customFormat="1" x14ac:dyDescent="0.25"/>
    <row r="745" s="17" customFormat="1" x14ac:dyDescent="0.25"/>
    <row r="746" s="17" customFormat="1" x14ac:dyDescent="0.25"/>
    <row r="747" s="17" customFormat="1" x14ac:dyDescent="0.25"/>
    <row r="748" s="17" customFormat="1" x14ac:dyDescent="0.25"/>
    <row r="749" s="17" customFormat="1" x14ac:dyDescent="0.25"/>
    <row r="750" s="17" customFormat="1" x14ac:dyDescent="0.25"/>
    <row r="751" s="17" customFormat="1" x14ac:dyDescent="0.25"/>
    <row r="752" s="17" customFormat="1" x14ac:dyDescent="0.25"/>
    <row r="753" s="17" customFormat="1" x14ac:dyDescent="0.25"/>
    <row r="754" s="17" customFormat="1" x14ac:dyDescent="0.25"/>
    <row r="755" s="17" customFormat="1" x14ac:dyDescent="0.25"/>
    <row r="756" s="17" customFormat="1" x14ac:dyDescent="0.25"/>
    <row r="757" s="17" customFormat="1" x14ac:dyDescent="0.25"/>
    <row r="758" s="17" customFormat="1" x14ac:dyDescent="0.25"/>
    <row r="759" s="17" customFormat="1" x14ac:dyDescent="0.25"/>
    <row r="760" s="17" customFormat="1" x14ac:dyDescent="0.25"/>
    <row r="761" s="17" customFormat="1" x14ac:dyDescent="0.25"/>
    <row r="762" s="17" customFormat="1" x14ac:dyDescent="0.25"/>
    <row r="763" s="17" customFormat="1" x14ac:dyDescent="0.25"/>
    <row r="764" s="17" customFormat="1" x14ac:dyDescent="0.25"/>
    <row r="765" s="17" customFormat="1" x14ac:dyDescent="0.25"/>
    <row r="766" s="17" customFormat="1" x14ac:dyDescent="0.25"/>
    <row r="767" s="17" customFormat="1" x14ac:dyDescent="0.25"/>
    <row r="768" s="17" customFormat="1" x14ac:dyDescent="0.25"/>
    <row r="769" s="17" customFormat="1" x14ac:dyDescent="0.25"/>
    <row r="770" s="17" customFormat="1" x14ac:dyDescent="0.25"/>
    <row r="771" s="17" customFormat="1" x14ac:dyDescent="0.25"/>
    <row r="772" s="17" customFormat="1" x14ac:dyDescent="0.25"/>
    <row r="773" s="17" customFormat="1" x14ac:dyDescent="0.25"/>
    <row r="774" s="17" customFormat="1" x14ac:dyDescent="0.25"/>
    <row r="775" s="17" customFormat="1" x14ac:dyDescent="0.25"/>
    <row r="776" s="17" customFormat="1" x14ac:dyDescent="0.25"/>
    <row r="777" s="17" customFormat="1" x14ac:dyDescent="0.25"/>
    <row r="778" s="17" customFormat="1" x14ac:dyDescent="0.25"/>
    <row r="779" s="17" customFormat="1" x14ac:dyDescent="0.25"/>
    <row r="780" s="17" customFormat="1" x14ac:dyDescent="0.25"/>
    <row r="781" s="17" customFormat="1" x14ac:dyDescent="0.25"/>
    <row r="782" s="17" customFormat="1" x14ac:dyDescent="0.25"/>
    <row r="783" s="17" customFormat="1" x14ac:dyDescent="0.25"/>
    <row r="784" s="17" customFormat="1" x14ac:dyDescent="0.25"/>
    <row r="785" s="17" customFormat="1" x14ac:dyDescent="0.25"/>
    <row r="786" s="17" customFormat="1" x14ac:dyDescent="0.25"/>
    <row r="787" s="17" customFormat="1" x14ac:dyDescent="0.25"/>
    <row r="788" s="17" customFormat="1" x14ac:dyDescent="0.25"/>
    <row r="789" s="17" customFormat="1" x14ac:dyDescent="0.25"/>
    <row r="790" s="17" customFormat="1" x14ac:dyDescent="0.25"/>
    <row r="791" s="17" customFormat="1" x14ac:dyDescent="0.25"/>
    <row r="792" s="17" customFormat="1" x14ac:dyDescent="0.25"/>
    <row r="793" s="17" customFormat="1" x14ac:dyDescent="0.25"/>
    <row r="794" s="17" customFormat="1" x14ac:dyDescent="0.25"/>
    <row r="795" s="17" customFormat="1" x14ac:dyDescent="0.25"/>
    <row r="796" s="17" customFormat="1" x14ac:dyDescent="0.25"/>
    <row r="797" s="17" customFormat="1" x14ac:dyDescent="0.25"/>
    <row r="798" s="17" customFormat="1" x14ac:dyDescent="0.25"/>
    <row r="799" s="17" customFormat="1" x14ac:dyDescent="0.25"/>
    <row r="800" s="17" customFormat="1" x14ac:dyDescent="0.25"/>
    <row r="801" s="17" customFormat="1" x14ac:dyDescent="0.25"/>
    <row r="802" s="17" customFormat="1" x14ac:dyDescent="0.25"/>
    <row r="803" s="17" customFormat="1" x14ac:dyDescent="0.25"/>
    <row r="804" s="17" customFormat="1" x14ac:dyDescent="0.25"/>
    <row r="805" s="17" customFormat="1" x14ac:dyDescent="0.25"/>
    <row r="806" s="17" customFormat="1" x14ac:dyDescent="0.25"/>
    <row r="807" s="17" customFormat="1" x14ac:dyDescent="0.25"/>
    <row r="808" s="17" customFormat="1" x14ac:dyDescent="0.25"/>
    <row r="809" s="17" customFormat="1" x14ac:dyDescent="0.25"/>
    <row r="810" s="17" customFormat="1" x14ac:dyDescent="0.25"/>
    <row r="811" s="17" customFormat="1" x14ac:dyDescent="0.25"/>
    <row r="812" s="17" customFormat="1" x14ac:dyDescent="0.25"/>
    <row r="813" s="17" customFormat="1" x14ac:dyDescent="0.25"/>
    <row r="814" s="17" customFormat="1" x14ac:dyDescent="0.25"/>
    <row r="815" s="17" customFormat="1" x14ac:dyDescent="0.25"/>
    <row r="816" s="17" customFormat="1" x14ac:dyDescent="0.25"/>
    <row r="817" s="17" customFormat="1" x14ac:dyDescent="0.25"/>
    <row r="818" s="17" customFormat="1" x14ac:dyDescent="0.25"/>
    <row r="819" s="17" customFormat="1" x14ac:dyDescent="0.25"/>
    <row r="820" s="17" customFormat="1" x14ac:dyDescent="0.25"/>
    <row r="821" s="17" customFormat="1" x14ac:dyDescent="0.25"/>
    <row r="822" s="17" customFormat="1" x14ac:dyDescent="0.25"/>
    <row r="823" s="17" customFormat="1" x14ac:dyDescent="0.25"/>
    <row r="824" s="17" customFormat="1" x14ac:dyDescent="0.25"/>
    <row r="825" s="17" customFormat="1" x14ac:dyDescent="0.25"/>
    <row r="826" s="17" customFormat="1" x14ac:dyDescent="0.25"/>
    <row r="827" s="17" customFormat="1" x14ac:dyDescent="0.25"/>
    <row r="828" s="17" customFormat="1" x14ac:dyDescent="0.25"/>
    <row r="829" s="17" customFormat="1" x14ac:dyDescent="0.25"/>
    <row r="830" s="17" customFormat="1" x14ac:dyDescent="0.25"/>
    <row r="831" s="17" customFormat="1" x14ac:dyDescent="0.25"/>
    <row r="832" s="17" customFormat="1" x14ac:dyDescent="0.25"/>
    <row r="833" s="17" customFormat="1" x14ac:dyDescent="0.25"/>
    <row r="834" s="17" customFormat="1" x14ac:dyDescent="0.25"/>
    <row r="835" s="17" customFormat="1" x14ac:dyDescent="0.25"/>
    <row r="836" s="17" customFormat="1" x14ac:dyDescent="0.25"/>
    <row r="837" s="17" customFormat="1" x14ac:dyDescent="0.25"/>
    <row r="838" s="17" customFormat="1" x14ac:dyDescent="0.25"/>
    <row r="839" s="17" customFormat="1" x14ac:dyDescent="0.25"/>
    <row r="840" s="17" customFormat="1" x14ac:dyDescent="0.25"/>
    <row r="841" s="17" customFormat="1" x14ac:dyDescent="0.25"/>
    <row r="842" s="17" customFormat="1" x14ac:dyDescent="0.25"/>
    <row r="843" s="17" customFormat="1" x14ac:dyDescent="0.25"/>
    <row r="844" s="17" customFormat="1" x14ac:dyDescent="0.25"/>
    <row r="845" s="17" customFormat="1" x14ac:dyDescent="0.25"/>
    <row r="846" s="17" customFormat="1" x14ac:dyDescent="0.25"/>
    <row r="847" s="17" customFormat="1" x14ac:dyDescent="0.25"/>
    <row r="848" s="17" customFormat="1" x14ac:dyDescent="0.25"/>
    <row r="849" s="17" customFormat="1" x14ac:dyDescent="0.25"/>
    <row r="850" s="17" customFormat="1" x14ac:dyDescent="0.25"/>
    <row r="851" s="17" customFormat="1" x14ac:dyDescent="0.25"/>
    <row r="852" s="17" customFormat="1" x14ac:dyDescent="0.25"/>
    <row r="853" s="17" customFormat="1" x14ac:dyDescent="0.25"/>
    <row r="854" s="17" customFormat="1" x14ac:dyDescent="0.25"/>
    <row r="855" s="17" customFormat="1" x14ac:dyDescent="0.25"/>
    <row r="856" s="17" customFormat="1" x14ac:dyDescent="0.25"/>
    <row r="857" s="17" customFormat="1" x14ac:dyDescent="0.25"/>
    <row r="858" s="17" customFormat="1" x14ac:dyDescent="0.25"/>
    <row r="859" s="17" customFormat="1" x14ac:dyDescent="0.25"/>
    <row r="860" s="17" customFormat="1" x14ac:dyDescent="0.25"/>
    <row r="861" s="17" customFormat="1" x14ac:dyDescent="0.25"/>
    <row r="862" s="17" customFormat="1" x14ac:dyDescent="0.25"/>
    <row r="863" s="17" customFormat="1" x14ac:dyDescent="0.25"/>
    <row r="864" s="17" customFormat="1" x14ac:dyDescent="0.25"/>
    <row r="865" s="17" customFormat="1" x14ac:dyDescent="0.25"/>
    <row r="866" s="17" customFormat="1" x14ac:dyDescent="0.25"/>
    <row r="867" s="17" customFormat="1" x14ac:dyDescent="0.25"/>
    <row r="868" s="17" customFormat="1" x14ac:dyDescent="0.25"/>
    <row r="869" s="17" customFormat="1" x14ac:dyDescent="0.25"/>
    <row r="870" s="17" customFormat="1" x14ac:dyDescent="0.25"/>
    <row r="871" s="17" customFormat="1" x14ac:dyDescent="0.25"/>
    <row r="872" s="17" customFormat="1" x14ac:dyDescent="0.25"/>
    <row r="873" s="17" customFormat="1" x14ac:dyDescent="0.25"/>
    <row r="874" s="17" customFormat="1" x14ac:dyDescent="0.25"/>
    <row r="875" s="17" customFormat="1" x14ac:dyDescent="0.25"/>
    <row r="876" s="17" customFormat="1" x14ac:dyDescent="0.25"/>
    <row r="877" s="17" customFormat="1" x14ac:dyDescent="0.25"/>
    <row r="878" s="17" customFormat="1" x14ac:dyDescent="0.25"/>
    <row r="879" s="17" customFormat="1" x14ac:dyDescent="0.25"/>
    <row r="880" s="17" customFormat="1" x14ac:dyDescent="0.25"/>
    <row r="881" s="17" customFormat="1" x14ac:dyDescent="0.25"/>
    <row r="882" s="17" customFormat="1" x14ac:dyDescent="0.25"/>
    <row r="883" s="17" customFormat="1" x14ac:dyDescent="0.25"/>
    <row r="884" s="17" customFormat="1" x14ac:dyDescent="0.25"/>
    <row r="885" s="17" customFormat="1" x14ac:dyDescent="0.25"/>
    <row r="886" s="17" customFormat="1" x14ac:dyDescent="0.25"/>
    <row r="887" s="17" customFormat="1" x14ac:dyDescent="0.25"/>
    <row r="888" s="17" customFormat="1" x14ac:dyDescent="0.25"/>
    <row r="889" s="17" customFormat="1" x14ac:dyDescent="0.25"/>
    <row r="890" s="17" customFormat="1" x14ac:dyDescent="0.25"/>
    <row r="891" s="17" customFormat="1" x14ac:dyDescent="0.25"/>
    <row r="892" s="17" customFormat="1" x14ac:dyDescent="0.25"/>
    <row r="893" s="17" customFormat="1" x14ac:dyDescent="0.25"/>
    <row r="894" s="17" customFormat="1" x14ac:dyDescent="0.25"/>
    <row r="895" s="17" customFormat="1" x14ac:dyDescent="0.25"/>
    <row r="896" s="17" customFormat="1" x14ac:dyDescent="0.25"/>
    <row r="897" s="17" customFormat="1" x14ac:dyDescent="0.25"/>
    <row r="898" s="17" customFormat="1" x14ac:dyDescent="0.25"/>
    <row r="899" s="17" customFormat="1" x14ac:dyDescent="0.25"/>
    <row r="900" s="17" customFormat="1" x14ac:dyDescent="0.25"/>
    <row r="901" s="17" customFormat="1" x14ac:dyDescent="0.25"/>
    <row r="902" s="17" customFormat="1" x14ac:dyDescent="0.25"/>
    <row r="903" s="17" customFormat="1" x14ac:dyDescent="0.25"/>
    <row r="904" s="17" customFormat="1" x14ac:dyDescent="0.25"/>
    <row r="905" s="17" customFormat="1" x14ac:dyDescent="0.25"/>
    <row r="906" s="17" customFormat="1" x14ac:dyDescent="0.25"/>
    <row r="907" s="17" customFormat="1" x14ac:dyDescent="0.25"/>
    <row r="908" s="17" customFormat="1" x14ac:dyDescent="0.25"/>
    <row r="909" s="17" customFormat="1" x14ac:dyDescent="0.25"/>
    <row r="910" s="17" customFormat="1" x14ac:dyDescent="0.25"/>
    <row r="911" s="17" customFormat="1" x14ac:dyDescent="0.25"/>
    <row r="912" s="17" customFormat="1" x14ac:dyDescent="0.25"/>
    <row r="913" s="17" customFormat="1" x14ac:dyDescent="0.25"/>
    <row r="914" s="17" customFormat="1" x14ac:dyDescent="0.25"/>
    <row r="915" s="17" customFormat="1" x14ac:dyDescent="0.25"/>
    <row r="916" s="17" customFormat="1" x14ac:dyDescent="0.25"/>
    <row r="917" s="17" customFormat="1" x14ac:dyDescent="0.25"/>
    <row r="918" s="17" customFormat="1" x14ac:dyDescent="0.25"/>
    <row r="919" s="17" customFormat="1" x14ac:dyDescent="0.25"/>
    <row r="920" s="17" customFormat="1" x14ac:dyDescent="0.25"/>
    <row r="921" s="17" customFormat="1" x14ac:dyDescent="0.25"/>
    <row r="922" s="17" customFormat="1" x14ac:dyDescent="0.25"/>
    <row r="923" s="17" customFormat="1" x14ac:dyDescent="0.25"/>
    <row r="924" s="17" customFormat="1" x14ac:dyDescent="0.25"/>
    <row r="925" s="17" customFormat="1" x14ac:dyDescent="0.25"/>
    <row r="926" s="17" customFormat="1" x14ac:dyDescent="0.25"/>
    <row r="927" s="17" customFormat="1" x14ac:dyDescent="0.25"/>
    <row r="928" s="17" customFormat="1" x14ac:dyDescent="0.25"/>
    <row r="929" s="17" customFormat="1" x14ac:dyDescent="0.25"/>
    <row r="930" s="17" customFormat="1" x14ac:dyDescent="0.25"/>
    <row r="931" s="17" customFormat="1" x14ac:dyDescent="0.25"/>
    <row r="932" s="17" customFormat="1" x14ac:dyDescent="0.25"/>
    <row r="933" s="17" customFormat="1" x14ac:dyDescent="0.25"/>
    <row r="934" s="17" customFormat="1" x14ac:dyDescent="0.25"/>
    <row r="935" s="17" customFormat="1" x14ac:dyDescent="0.25"/>
    <row r="936" s="17" customFormat="1" x14ac:dyDescent="0.25"/>
    <row r="937" s="17" customFormat="1" x14ac:dyDescent="0.25"/>
    <row r="938" s="17" customFormat="1" x14ac:dyDescent="0.25"/>
    <row r="939" s="17" customFormat="1" x14ac:dyDescent="0.25"/>
    <row r="940" s="17" customFormat="1" x14ac:dyDescent="0.25"/>
    <row r="941" s="17" customFormat="1" x14ac:dyDescent="0.25"/>
    <row r="942" s="17" customFormat="1" x14ac:dyDescent="0.25"/>
    <row r="943" s="17" customFormat="1" x14ac:dyDescent="0.25"/>
    <row r="944" s="17" customFormat="1" x14ac:dyDescent="0.25"/>
    <row r="945" s="17" customFormat="1" x14ac:dyDescent="0.25"/>
    <row r="946" s="17" customFormat="1" x14ac:dyDescent="0.25"/>
    <row r="947" s="17" customFormat="1" x14ac:dyDescent="0.25"/>
    <row r="948" s="17" customFormat="1" x14ac:dyDescent="0.25"/>
    <row r="949" s="17" customFormat="1" x14ac:dyDescent="0.25"/>
    <row r="950" s="17" customFormat="1" x14ac:dyDescent="0.25"/>
    <row r="951" s="17" customFormat="1" x14ac:dyDescent="0.25"/>
    <row r="952" s="17" customFormat="1" x14ac:dyDescent="0.25"/>
    <row r="953" s="17" customFormat="1" x14ac:dyDescent="0.25"/>
    <row r="954" s="17" customFormat="1" x14ac:dyDescent="0.25"/>
    <row r="955" s="17" customFormat="1" x14ac:dyDescent="0.25"/>
    <row r="956" s="17" customFormat="1" x14ac:dyDescent="0.25"/>
    <row r="957" s="17" customFormat="1" x14ac:dyDescent="0.25"/>
    <row r="958" s="17" customFormat="1" x14ac:dyDescent="0.25"/>
    <row r="959" s="17" customFormat="1" x14ac:dyDescent="0.25"/>
    <row r="960" s="17" customFormat="1" x14ac:dyDescent="0.25"/>
    <row r="961" s="17" customFormat="1" x14ac:dyDescent="0.25"/>
    <row r="962" s="17" customFormat="1" x14ac:dyDescent="0.25"/>
    <row r="963" s="17" customFormat="1" x14ac:dyDescent="0.25"/>
    <row r="964" s="17" customFormat="1" x14ac:dyDescent="0.25"/>
    <row r="965" s="17" customFormat="1" x14ac:dyDescent="0.25"/>
    <row r="966" s="17" customFormat="1" x14ac:dyDescent="0.25"/>
    <row r="967" s="17" customFormat="1" x14ac:dyDescent="0.25"/>
    <row r="968" s="17" customFormat="1" x14ac:dyDescent="0.25"/>
    <row r="969" s="17" customFormat="1" x14ac:dyDescent="0.25"/>
    <row r="970" s="17" customFormat="1" x14ac:dyDescent="0.25"/>
    <row r="971" s="17" customFormat="1" x14ac:dyDescent="0.25"/>
    <row r="972" s="17" customFormat="1" x14ac:dyDescent="0.25"/>
    <row r="973" s="17" customFormat="1" x14ac:dyDescent="0.25"/>
    <row r="974" s="17" customFormat="1" x14ac:dyDescent="0.25"/>
    <row r="975" s="17" customFormat="1" x14ac:dyDescent="0.25"/>
    <row r="976" s="17" customFormat="1" x14ac:dyDescent="0.25"/>
    <row r="977" s="17" customFormat="1" x14ac:dyDescent="0.25"/>
    <row r="978" s="17" customFormat="1" x14ac:dyDescent="0.25"/>
    <row r="979" s="17" customFormat="1" x14ac:dyDescent="0.25"/>
    <row r="980" s="17" customFormat="1" x14ac:dyDescent="0.25"/>
    <row r="981" s="17" customFormat="1" x14ac:dyDescent="0.25"/>
    <row r="982" s="17" customFormat="1" x14ac:dyDescent="0.25"/>
    <row r="983" s="17" customFormat="1" x14ac:dyDescent="0.25"/>
    <row r="984" s="17" customFormat="1" x14ac:dyDescent="0.25"/>
    <row r="985" s="17" customFormat="1" x14ac:dyDescent="0.25"/>
    <row r="986" s="17" customFormat="1" x14ac:dyDescent="0.25"/>
    <row r="987" s="17" customFormat="1" x14ac:dyDescent="0.25"/>
    <row r="988" s="17" customFormat="1" x14ac:dyDescent="0.25"/>
    <row r="989" s="17" customFormat="1" x14ac:dyDescent="0.25"/>
    <row r="990" s="17" customFormat="1" x14ac:dyDescent="0.25"/>
    <row r="991" s="17" customFormat="1" x14ac:dyDescent="0.25"/>
    <row r="992" s="17" customFormat="1" x14ac:dyDescent="0.25"/>
    <row r="993" s="17" customFormat="1" x14ac:dyDescent="0.25"/>
    <row r="994" s="17" customFormat="1" x14ac:dyDescent="0.25"/>
    <row r="995" s="17" customFormat="1" x14ac:dyDescent="0.25"/>
    <row r="996" s="17" customFormat="1" x14ac:dyDescent="0.25"/>
    <row r="997" s="17" customFormat="1" x14ac:dyDescent="0.25"/>
    <row r="998" s="17" customFormat="1" x14ac:dyDescent="0.25"/>
    <row r="999" s="17" customFormat="1" x14ac:dyDescent="0.25"/>
    <row r="1000" s="17" customFormat="1" x14ac:dyDescent="0.25"/>
    <row r="1001" s="17" customFormat="1" x14ac:dyDescent="0.25"/>
    <row r="1002" s="17" customFormat="1" x14ac:dyDescent="0.25"/>
    <row r="1003" s="17" customFormat="1" x14ac:dyDescent="0.25"/>
    <row r="1004" s="17" customFormat="1" x14ac:dyDescent="0.25"/>
    <row r="1005" s="17" customFormat="1" x14ac:dyDescent="0.25"/>
    <row r="1006" s="17" customFormat="1" x14ac:dyDescent="0.25"/>
    <row r="1007" s="17" customFormat="1" x14ac:dyDescent="0.25"/>
    <row r="1008" s="17" customFormat="1" x14ac:dyDescent="0.25"/>
    <row r="1009" s="17" customFormat="1" x14ac:dyDescent="0.25"/>
    <row r="1010" s="17" customFormat="1" x14ac:dyDescent="0.25"/>
    <row r="1011" s="17" customFormat="1" x14ac:dyDescent="0.25"/>
    <row r="1012" s="17" customFormat="1" x14ac:dyDescent="0.25"/>
    <row r="1013" s="17" customFormat="1" x14ac:dyDescent="0.25"/>
    <row r="1014" s="17" customFormat="1" x14ac:dyDescent="0.25"/>
    <row r="1015" s="17" customFormat="1" x14ac:dyDescent="0.25"/>
    <row r="1016" s="17" customFormat="1" x14ac:dyDescent="0.25"/>
    <row r="1017" s="17" customFormat="1" x14ac:dyDescent="0.25"/>
    <row r="1018" s="17" customFormat="1" x14ac:dyDescent="0.25"/>
    <row r="1019" s="17" customFormat="1" x14ac:dyDescent="0.25"/>
    <row r="1020" s="17" customFormat="1" x14ac:dyDescent="0.25"/>
    <row r="1021" s="17" customFormat="1" x14ac:dyDescent="0.25"/>
    <row r="1022" s="17" customFormat="1" x14ac:dyDescent="0.25"/>
    <row r="1023" s="17" customFormat="1" x14ac:dyDescent="0.25"/>
    <row r="1024" s="17" customFormat="1" x14ac:dyDescent="0.25"/>
    <row r="1025" s="17" customFormat="1" x14ac:dyDescent="0.25"/>
    <row r="1026" s="17" customFormat="1" x14ac:dyDescent="0.25"/>
    <row r="1027" s="17" customFormat="1" x14ac:dyDescent="0.25"/>
    <row r="1028" s="17" customFormat="1" x14ac:dyDescent="0.25"/>
    <row r="1029" s="17" customFormat="1" x14ac:dyDescent="0.25"/>
    <row r="1030" s="17" customFormat="1" x14ac:dyDescent="0.25"/>
    <row r="1031" s="17" customFormat="1" x14ac:dyDescent="0.25"/>
    <row r="1032" s="17" customFormat="1" x14ac:dyDescent="0.25"/>
    <row r="1033" s="17" customFormat="1" x14ac:dyDescent="0.25"/>
    <row r="1034" s="17" customFormat="1" x14ac:dyDescent="0.25"/>
    <row r="1035" s="17" customFormat="1" x14ac:dyDescent="0.25"/>
    <row r="1036" s="17" customFormat="1" x14ac:dyDescent="0.25"/>
    <row r="1037" s="17" customFormat="1" x14ac:dyDescent="0.25"/>
    <row r="1038" s="17" customFormat="1" x14ac:dyDescent="0.25"/>
    <row r="1039" s="17" customFormat="1" x14ac:dyDescent="0.25"/>
    <row r="1040" s="17" customFormat="1" x14ac:dyDescent="0.25"/>
    <row r="1041" spans="3:4" s="17" customFormat="1" x14ac:dyDescent="0.25"/>
    <row r="1042" spans="3:4" s="17" customFormat="1" x14ac:dyDescent="0.25"/>
    <row r="1043" spans="3:4" s="17" customFormat="1" x14ac:dyDescent="0.25"/>
    <row r="1044" spans="3:4" s="17" customFormat="1" x14ac:dyDescent="0.25"/>
    <row r="1045" spans="3:4" x14ac:dyDescent="0.25">
      <c r="C1045" s="17"/>
      <c r="D1045" s="17"/>
    </row>
  </sheetData>
  <sheetProtection algorithmName="SHA-512" hashValue="tloYOdMMy50fjVC0C8RQAhLglTTENkyyz+9nPJXkVUghpL8iReL7mvn9yk/sC1MyDDDbQ+WjTX4erygdH0Obxg==" saltValue="YBWDJmfg+XTHYygiinjopQ==" spinCount="100000" sheet="1" selectLockedCells="1"/>
  <mergeCells count="24">
    <mergeCell ref="A1:H4"/>
    <mergeCell ref="F28:H28"/>
    <mergeCell ref="B9:B33"/>
    <mergeCell ref="B8:C8"/>
    <mergeCell ref="B7:D7"/>
    <mergeCell ref="B6:D6"/>
    <mergeCell ref="C25:D25"/>
    <mergeCell ref="C9:D9"/>
    <mergeCell ref="C14:D14"/>
    <mergeCell ref="C19:D19"/>
    <mergeCell ref="F9:H10"/>
    <mergeCell ref="B35:B40"/>
    <mergeCell ref="C35:D35"/>
    <mergeCell ref="C67:D67"/>
    <mergeCell ref="B75:B106"/>
    <mergeCell ref="B42:B73"/>
    <mergeCell ref="C81:D81"/>
    <mergeCell ref="C92:D92"/>
    <mergeCell ref="C42:D42"/>
    <mergeCell ref="C47:D47"/>
    <mergeCell ref="C57:D57"/>
    <mergeCell ref="C75:D75"/>
    <mergeCell ref="C99:D99"/>
    <mergeCell ref="C88:D8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Button19_Click" altText="Clear form">
                <anchor moveWithCells="1" sizeWithCells="1">
                  <from>
                    <xdr:col>4</xdr:col>
                    <xdr:colOff>495300</xdr:colOff>
                    <xdr:row>4</xdr:row>
                    <xdr:rowOff>279400</xdr:rowOff>
                  </from>
                  <to>
                    <xdr:col>8</xdr:col>
                    <xdr:colOff>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5" name="Button 20">
              <controlPr defaultSize="0" print="0" autoFill="0" autoPict="0" macro="[0]!VNS_Simple_Click">
                <anchor moveWithCells="1" sizeWithCells="1">
                  <from>
                    <xdr:col>6</xdr:col>
                    <xdr:colOff>25400</xdr:colOff>
                    <xdr:row>10</xdr:row>
                    <xdr:rowOff>177800</xdr:rowOff>
                  </from>
                  <to>
                    <xdr:col>7</xdr:col>
                    <xdr:colOff>952500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6" name="Button 21">
              <controlPr defaultSize="0" print="0" autoFill="0" autoPict="0" macro="[0]!VNS_Normal_Click">
                <anchor moveWithCells="1" sizeWithCells="1">
                  <from>
                    <xdr:col>6</xdr:col>
                    <xdr:colOff>25400</xdr:colOff>
                    <xdr:row>14</xdr:row>
                    <xdr:rowOff>190500</xdr:rowOff>
                  </from>
                  <to>
                    <xdr:col>7</xdr:col>
                    <xdr:colOff>939800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7" name="Button 23">
              <controlPr defaultSize="0" print="0" autoFill="0" autoPict="0" macro="[0]!VNS_Advanced_Click">
                <anchor moveWithCells="1" sizeWithCells="1">
                  <from>
                    <xdr:col>6</xdr:col>
                    <xdr:colOff>38100</xdr:colOff>
                    <xdr:row>18</xdr:row>
                    <xdr:rowOff>190500</xdr:rowOff>
                  </from>
                  <to>
                    <xdr:col>7</xdr:col>
                    <xdr:colOff>977900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8" name="Button 24">
              <controlPr defaultSize="0" print="0" autoFill="0" autoPict="0" macro="[0]!VNS_Complex_Click">
                <anchor moveWithCells="1" sizeWithCells="1">
                  <from>
                    <xdr:col>6</xdr:col>
                    <xdr:colOff>38100</xdr:colOff>
                    <xdr:row>22</xdr:row>
                    <xdr:rowOff>203200</xdr:rowOff>
                  </from>
                  <to>
                    <xdr:col>7</xdr:col>
                    <xdr:colOff>977900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9" name="Button 30">
              <controlPr defaultSize="0" print="0" autoFill="0" autoPict="0" macro="[0]!VCS_Simple_Click">
                <anchor moveWithCells="1" sizeWithCells="1">
                  <from>
                    <xdr:col>7</xdr:col>
                    <xdr:colOff>1485900</xdr:colOff>
                    <xdr:row>10</xdr:row>
                    <xdr:rowOff>165100</xdr:rowOff>
                  </from>
                  <to>
                    <xdr:col>7</xdr:col>
                    <xdr:colOff>3784600</xdr:colOff>
                    <xdr:row>13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0" name="Button 31">
              <controlPr defaultSize="0" print="0" autoFill="0" autoPict="0" macro="[0]!VCS_Normal_Click">
                <anchor moveWithCells="1" sizeWithCells="1">
                  <from>
                    <xdr:col>7</xdr:col>
                    <xdr:colOff>1473200</xdr:colOff>
                    <xdr:row>14</xdr:row>
                    <xdr:rowOff>203200</xdr:rowOff>
                  </from>
                  <to>
                    <xdr:col>7</xdr:col>
                    <xdr:colOff>3771900</xdr:colOff>
                    <xdr:row>18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1" name="Button 32">
              <controlPr defaultSize="0" print="0" autoFill="0" autoPict="0" macro="[0]!VSC_Advanced_Click">
                <anchor moveWithCells="1" sizeWithCells="1">
                  <from>
                    <xdr:col>7</xdr:col>
                    <xdr:colOff>1473200</xdr:colOff>
                    <xdr:row>18</xdr:row>
                    <xdr:rowOff>203200</xdr:rowOff>
                  </from>
                  <to>
                    <xdr:col>7</xdr:col>
                    <xdr:colOff>3771900</xdr:colOff>
                    <xdr:row>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2" name="Button 33">
              <controlPr defaultSize="0" print="0" autoFill="0" autoPict="0" macro="[0]!VSC_Complex_Click">
                <anchor moveWithCells="1" sizeWithCells="1">
                  <from>
                    <xdr:col>7</xdr:col>
                    <xdr:colOff>1473200</xdr:colOff>
                    <xdr:row>22</xdr:row>
                    <xdr:rowOff>215900</xdr:rowOff>
                  </from>
                  <to>
                    <xdr:col>7</xdr:col>
                    <xdr:colOff>3771900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13" name="Button 75">
              <controlPr defaultSize="0" print="0" autoFill="0" autoPict="0" macro="[0]!VNSs_VCSs">
                <anchor moveWithCells="1" sizeWithCells="1">
                  <from>
                    <xdr:col>7</xdr:col>
                    <xdr:colOff>1054100</xdr:colOff>
                    <xdr:row>10</xdr:row>
                    <xdr:rowOff>190500</xdr:rowOff>
                  </from>
                  <to>
                    <xdr:col>7</xdr:col>
                    <xdr:colOff>1397000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Button 82">
              <controlPr defaultSize="0" print="0" autoFill="0" autoPict="0" macro="[0]!VNSn_VCSn">
                <anchor moveWithCells="1" sizeWithCells="1">
                  <from>
                    <xdr:col>7</xdr:col>
                    <xdr:colOff>1041400</xdr:colOff>
                    <xdr:row>14</xdr:row>
                    <xdr:rowOff>190500</xdr:rowOff>
                  </from>
                  <to>
                    <xdr:col>7</xdr:col>
                    <xdr:colOff>1384300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15" name="Button 83">
              <controlPr defaultSize="0" print="0" autoFill="0" autoPict="0" macro="[0]!VNSa_VCSa">
                <anchor moveWithCells="1" sizeWithCells="1">
                  <from>
                    <xdr:col>7</xdr:col>
                    <xdr:colOff>1054100</xdr:colOff>
                    <xdr:row>18</xdr:row>
                    <xdr:rowOff>203200</xdr:rowOff>
                  </from>
                  <to>
                    <xdr:col>7</xdr:col>
                    <xdr:colOff>1397000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16" name="Button 85">
              <controlPr defaultSize="0" print="0" autoFill="0" autoPict="0" macro="[0]!VNSc_VCSc">
                <anchor moveWithCells="1" sizeWithCells="1">
                  <from>
                    <xdr:col>7</xdr:col>
                    <xdr:colOff>1041400</xdr:colOff>
                    <xdr:row>22</xdr:row>
                    <xdr:rowOff>215900</xdr:rowOff>
                  </from>
                  <to>
                    <xdr:col>7</xdr:col>
                    <xdr:colOff>1384300</xdr:colOff>
                    <xdr:row>26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showInputMessage="1" showErrorMessage="1" xr:uid="{70A1C5C7-44D2-BF4A-BBE3-A3CFE9D2B49C}">
          <x14:formula1>
            <xm:f>'00 - FORM DATA'!$C$7:$C$10</xm:f>
          </x14:formula1>
          <xm:sqref>D12</xm:sqref>
        </x14:dataValidation>
        <x14:dataValidation type="list" showInputMessage="1" showErrorMessage="1" xr:uid="{848760AF-8BFD-C740-8FCA-9D850B747A35}">
          <x14:formula1>
            <xm:f>'00 - FORM DATA'!$E$7:$E$12</xm:f>
          </x14:formula1>
          <xm:sqref>D13</xm:sqref>
        </x14:dataValidation>
        <x14:dataValidation type="list" allowBlank="1" showInputMessage="1" showErrorMessage="1" xr:uid="{8CCB1A57-3A35-8A49-B210-2E3FC7A0B034}">
          <x14:formula1>
            <xm:f>'00 - FORM DATA'!$I$7:$I$12</xm:f>
          </x14:formula1>
          <xm:sqref>D17</xm:sqref>
        </x14:dataValidation>
        <x14:dataValidation type="list" showInputMessage="1" showErrorMessage="1" xr:uid="{83FE39C1-26A6-B744-80CB-7468C5A3F915}">
          <x14:formula1>
            <xm:f>'00 - FORM DATA'!$G$7:$G$10</xm:f>
          </x14:formula1>
          <xm:sqref>D27</xm:sqref>
        </x14:dataValidation>
        <x14:dataValidation type="list" showInputMessage="1" showErrorMessage="1" xr:uid="{C582A544-89D9-A347-840F-BB691A7F4784}">
          <x14:formula1>
            <xm:f>'00 - FORM DATA'!$K$7:$K$8</xm:f>
          </x14:formula1>
          <xm:sqref>D28 D86:D87 D76:D77 D69:D70 D93:D98 D36 D72:D73 D82 D43 D100:D106 D58:D66 D48:D56</xm:sqref>
        </x14:dataValidation>
        <x14:dataValidation type="list" allowBlank="1" showInputMessage="1" showErrorMessage="1" xr:uid="{834D928A-1ED2-DE46-8D52-30830C1EE070}">
          <x14:formula1>
            <xm:f>'00 - FORM DATA'!$M$8:$M$14</xm:f>
          </x14:formula1>
          <xm:sqref>D34</xm:sqref>
        </x14:dataValidation>
        <x14:dataValidation type="list" showInputMessage="1" showErrorMessage="1" xr:uid="{2DB00BF9-7568-9446-98AB-E5DBD635B163}">
          <x14:formula1>
            <xm:f>'00 - FORM DATA'!$O$7:$O$10</xm:f>
          </x14:formula1>
          <xm:sqref>D37</xm:sqref>
        </x14:dataValidation>
        <x14:dataValidation type="list" showInputMessage="1" showErrorMessage="1" xr:uid="{12C6D825-3628-5140-9D94-BF593E2C059F}">
          <x14:formula1>
            <xm:f>'00 - FORM DATA'!$O$7:$O$13</xm:f>
          </x14:formula1>
          <xm:sqref>D38</xm:sqref>
        </x14:dataValidation>
        <x14:dataValidation type="list" showInputMessage="1" showErrorMessage="1" xr:uid="{A9043A5F-AE90-2940-B4CB-7FFDC07BBAC5}">
          <x14:formula1>
            <xm:f>'00 - FORM DATA'!$Q$7:$Q$17</xm:f>
          </x14:formula1>
          <xm:sqref>D39</xm:sqref>
        </x14:dataValidation>
        <x14:dataValidation type="list" showInputMessage="1" showErrorMessage="1" xr:uid="{990588BB-8ADE-4A4A-B082-EC6CD7A57A6E}">
          <x14:formula1>
            <xm:f>'00 - FORM DATA'!$U$7:$U$9</xm:f>
          </x14:formula1>
          <xm:sqref>D67 D74 D69:D70 D47 D40:D42 D57</xm:sqref>
        </x14:dataValidation>
        <x14:dataValidation type="list" showInputMessage="1" showErrorMessage="1" xr:uid="{61B0D9BA-A6DA-5241-95C3-5C5BB1114FF8}">
          <x14:formula1>
            <xm:f>'00 - FORM DATA'!$W$7:$W$12</xm:f>
          </x14:formula1>
          <xm:sqref>D83:D85</xm:sqref>
        </x14:dataValidation>
        <x14:dataValidation type="list" showInputMessage="1" showErrorMessage="1" xr:uid="{594EB1B2-CE54-0446-8184-81320E2C8941}">
          <x14:formula1>
            <xm:f>'00 - FORM DATA'!$Q$7:$Q$11</xm:f>
          </x14:formula1>
          <xm:sqref>D71</xm:sqref>
        </x14:dataValidation>
        <x14:dataValidation type="list" showInputMessage="1" showErrorMessage="1" xr:uid="{D4D9CB49-39AF-CE40-B3D5-0DA94031035C}">
          <x14:formula1>
            <xm:f>'00 - FORM DATA'!$Q$7:$Q$27</xm:f>
          </x14:formula1>
          <xm:sqref>D68</xm:sqref>
        </x14:dataValidation>
        <x14:dataValidation type="list" showInputMessage="1" showErrorMessage="1" xr:uid="{5DCEC42F-ADE7-954E-8465-5A7A1A8B4F3C}">
          <x14:formula1>
            <xm:f>'00 - FORM DATA'!$S$7:$S$18</xm:f>
          </x14:formula1>
          <xm:sqref>D44:D46 D89:D91 D78:D80</xm:sqref>
        </x14:dataValidation>
        <x14:dataValidation type="list" allowBlank="1" showInputMessage="1" showErrorMessage="1" xr:uid="{0A716E86-DEA0-6A47-BCF4-A82BF9004E38}">
          <x14:formula1>
            <xm:f>'00 - FORM DATA'!$Q$7:$Q$107</xm:f>
          </x14:formula1>
          <xm:sqref>D68 D71 D32:D33</xm:sqref>
        </x14:dataValidation>
        <x14:dataValidation type="list" allowBlank="1" showInputMessage="1" showErrorMessage="1" xr:uid="{4F41E631-CB61-7845-8D8A-78F9AB2F74AD}">
          <x14:formula1>
            <xm:f>'00 - FORM DATA'!$M$7:$M$14</xm:f>
          </x14:formula1>
          <xm:sqref>D31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226C1-45AF-5648-BEF5-C19C9849D1E9}">
  <sheetPr codeName="Sheet5"/>
  <dimension ref="A1:W107"/>
  <sheetViews>
    <sheetView topLeftCell="E1" workbookViewId="0">
      <selection activeCell="U7" sqref="U7"/>
    </sheetView>
  </sheetViews>
  <sheetFormatPr baseColWidth="10" defaultColWidth="10.83203125" defaultRowHeight="16" x14ac:dyDescent="0.2"/>
  <cols>
    <col min="1" max="1" width="42.1640625" style="19" customWidth="1"/>
    <col min="2" max="2" width="3.1640625" style="19" customWidth="1"/>
    <col min="3" max="3" width="25.33203125" style="19" bestFit="1" customWidth="1"/>
    <col min="4" max="4" width="3.33203125" style="19" customWidth="1"/>
    <col min="5" max="5" width="43.5" style="19" customWidth="1"/>
    <col min="6" max="6" width="3.1640625" style="19" customWidth="1"/>
    <col min="7" max="7" width="26.1640625" style="19" customWidth="1"/>
    <col min="8" max="8" width="3.5" style="19" customWidth="1"/>
    <col min="9" max="9" width="22" style="19" customWidth="1"/>
    <col min="10" max="10" width="3.83203125" style="19" customWidth="1"/>
    <col min="11" max="11" width="15.83203125" style="19" customWidth="1"/>
    <col min="12" max="12" width="2.6640625" style="19" customWidth="1"/>
    <col min="13" max="13" width="17.83203125" style="19" customWidth="1"/>
    <col min="14" max="14" width="3.33203125" style="19" customWidth="1"/>
    <col min="15" max="15" width="33.1640625" style="19" bestFit="1" customWidth="1"/>
    <col min="16" max="16" width="4.6640625" style="19" customWidth="1"/>
    <col min="17" max="17" width="10.83203125" style="19"/>
    <col min="18" max="18" width="4" style="19" customWidth="1"/>
    <col min="19" max="19" width="18.33203125" style="19" customWidth="1"/>
    <col min="20" max="20" width="4" style="19" customWidth="1"/>
    <col min="21" max="21" width="22.5" style="19" bestFit="1" customWidth="1"/>
    <col min="22" max="22" width="4.1640625" style="19" customWidth="1"/>
    <col min="23" max="23" width="22.1640625" style="19" bestFit="1" customWidth="1"/>
    <col min="24" max="24" width="5" style="19" customWidth="1"/>
    <col min="25" max="16384" width="10.83203125" style="19"/>
  </cols>
  <sheetData>
    <row r="1" spans="1:23" ht="16" customHeight="1" x14ac:dyDescent="0.2">
      <c r="A1" s="75" t="s">
        <v>229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</row>
    <row r="2" spans="1:23" ht="16" customHeight="1" x14ac:dyDescent="0.2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</row>
    <row r="3" spans="1:23" ht="16" customHeight="1" x14ac:dyDescent="0.2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</row>
    <row r="4" spans="1:23" ht="16" customHeight="1" x14ac:dyDescent="0.2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</row>
    <row r="6" spans="1:23" s="17" customFormat="1" ht="20" x14ac:dyDescent="0.25">
      <c r="A6" s="21" t="s">
        <v>3</v>
      </c>
      <c r="C6" s="21" t="s">
        <v>0</v>
      </c>
      <c r="E6" s="21" t="s">
        <v>13</v>
      </c>
      <c r="G6" s="22" t="s">
        <v>33</v>
      </c>
      <c r="I6" s="22" t="s">
        <v>40</v>
      </c>
      <c r="K6" s="22" t="s">
        <v>45</v>
      </c>
      <c r="M6" s="22" t="s">
        <v>48</v>
      </c>
      <c r="O6" s="22" t="s">
        <v>56</v>
      </c>
      <c r="Q6" s="22" t="s">
        <v>77</v>
      </c>
      <c r="S6" s="21" t="s">
        <v>97</v>
      </c>
      <c r="U6" s="22" t="s">
        <v>78</v>
      </c>
      <c r="W6" s="22" t="s">
        <v>81</v>
      </c>
    </row>
    <row r="7" spans="1:23" x14ac:dyDescent="0.2">
      <c r="A7" s="19" t="s">
        <v>4</v>
      </c>
      <c r="C7" s="19" t="s">
        <v>59</v>
      </c>
      <c r="E7" s="19" t="s">
        <v>59</v>
      </c>
      <c r="G7" s="19" t="s">
        <v>59</v>
      </c>
      <c r="I7" s="19" t="s">
        <v>59</v>
      </c>
      <c r="K7" s="19" t="s">
        <v>46</v>
      </c>
      <c r="M7" s="19" t="s">
        <v>59</v>
      </c>
      <c r="O7" s="19" t="s">
        <v>59</v>
      </c>
      <c r="Q7" s="19">
        <v>0</v>
      </c>
      <c r="S7" s="20" t="s">
        <v>59</v>
      </c>
      <c r="U7" s="19" t="s">
        <v>59</v>
      </c>
      <c r="W7" s="19" t="s">
        <v>59</v>
      </c>
    </row>
    <row r="8" spans="1:23" x14ac:dyDescent="0.2">
      <c r="A8" s="19" t="s">
        <v>5</v>
      </c>
      <c r="C8" s="19" t="s">
        <v>1</v>
      </c>
      <c r="E8" s="19" t="s">
        <v>14</v>
      </c>
      <c r="G8" s="19" t="s">
        <v>35</v>
      </c>
      <c r="I8" s="19" t="s">
        <v>41</v>
      </c>
      <c r="K8" s="19" t="s">
        <v>47</v>
      </c>
      <c r="M8" s="19" t="s">
        <v>49</v>
      </c>
      <c r="O8" s="19" t="s">
        <v>65</v>
      </c>
      <c r="Q8" s="19">
        <v>1</v>
      </c>
      <c r="S8" s="20" t="s">
        <v>98</v>
      </c>
      <c r="U8" s="19" t="s">
        <v>79</v>
      </c>
      <c r="W8" s="19" t="s">
        <v>120</v>
      </c>
    </row>
    <row r="9" spans="1:23" x14ac:dyDescent="0.2">
      <c r="A9" s="19" t="s">
        <v>7</v>
      </c>
      <c r="C9" s="19" t="s">
        <v>2</v>
      </c>
      <c r="E9" s="19" t="s">
        <v>15</v>
      </c>
      <c r="G9" s="19" t="s">
        <v>36</v>
      </c>
      <c r="I9" s="19" t="s">
        <v>42</v>
      </c>
      <c r="M9" s="19" t="s">
        <v>50</v>
      </c>
      <c r="O9" s="19" t="s">
        <v>66</v>
      </c>
      <c r="Q9" s="19">
        <v>2</v>
      </c>
      <c r="S9" s="19" t="s">
        <v>227</v>
      </c>
      <c r="U9" s="19" t="s">
        <v>80</v>
      </c>
      <c r="W9" s="19" t="s">
        <v>82</v>
      </c>
    </row>
    <row r="10" spans="1:23" x14ac:dyDescent="0.2">
      <c r="A10" s="19" t="s">
        <v>6</v>
      </c>
      <c r="C10" s="19" t="s">
        <v>12</v>
      </c>
      <c r="E10" s="19" t="s">
        <v>16</v>
      </c>
      <c r="G10" s="19" t="s">
        <v>34</v>
      </c>
      <c r="I10" s="19" t="s">
        <v>43</v>
      </c>
      <c r="M10" s="19" t="s">
        <v>51</v>
      </c>
      <c r="O10" s="19" t="s">
        <v>67</v>
      </c>
      <c r="Q10" s="19">
        <v>3</v>
      </c>
      <c r="S10" s="19" t="s">
        <v>99</v>
      </c>
      <c r="W10" s="19" t="s">
        <v>83</v>
      </c>
    </row>
    <row r="11" spans="1:23" x14ac:dyDescent="0.2">
      <c r="A11" s="19" t="s">
        <v>8</v>
      </c>
      <c r="E11" s="19" t="s">
        <v>17</v>
      </c>
      <c r="I11" s="19" t="s">
        <v>252</v>
      </c>
      <c r="M11" s="19" t="s">
        <v>52</v>
      </c>
      <c r="O11" s="19" t="s">
        <v>68</v>
      </c>
      <c r="Q11" s="19">
        <v>4</v>
      </c>
      <c r="S11" s="19" t="s">
        <v>100</v>
      </c>
      <c r="W11" s="19" t="s">
        <v>84</v>
      </c>
    </row>
    <row r="12" spans="1:23" x14ac:dyDescent="0.2">
      <c r="E12" s="19" t="s">
        <v>19</v>
      </c>
      <c r="I12" s="19" t="s">
        <v>256</v>
      </c>
      <c r="M12" s="19" t="s">
        <v>53</v>
      </c>
      <c r="O12" s="19" t="s">
        <v>63</v>
      </c>
      <c r="Q12" s="19">
        <v>5</v>
      </c>
      <c r="S12" s="19" t="s">
        <v>101</v>
      </c>
      <c r="W12" s="19" t="s">
        <v>85</v>
      </c>
    </row>
    <row r="13" spans="1:23" x14ac:dyDescent="0.2">
      <c r="M13" s="19" t="s">
        <v>54</v>
      </c>
      <c r="O13" s="19" t="s">
        <v>64</v>
      </c>
      <c r="Q13" s="19">
        <v>6</v>
      </c>
      <c r="S13" s="19" t="s">
        <v>118</v>
      </c>
    </row>
    <row r="14" spans="1:23" x14ac:dyDescent="0.2">
      <c r="M14" s="19" t="s">
        <v>55</v>
      </c>
      <c r="Q14" s="19">
        <v>7</v>
      </c>
      <c r="S14" s="19" t="s">
        <v>119</v>
      </c>
    </row>
    <row r="15" spans="1:23" x14ac:dyDescent="0.2">
      <c r="Q15" s="19">
        <v>8</v>
      </c>
      <c r="S15" s="19" t="s">
        <v>167</v>
      </c>
    </row>
    <row r="16" spans="1:23" x14ac:dyDescent="0.2">
      <c r="Q16" s="19">
        <v>9</v>
      </c>
      <c r="S16" s="19" t="s">
        <v>168</v>
      </c>
    </row>
    <row r="17" spans="17:19" x14ac:dyDescent="0.2">
      <c r="Q17" s="19">
        <v>10</v>
      </c>
      <c r="S17" s="19" t="s">
        <v>169</v>
      </c>
    </row>
    <row r="18" spans="17:19" x14ac:dyDescent="0.2">
      <c r="Q18" s="19">
        <v>11</v>
      </c>
      <c r="S18" s="19" t="s">
        <v>170</v>
      </c>
    </row>
    <row r="19" spans="17:19" x14ac:dyDescent="0.2">
      <c r="Q19" s="19">
        <v>12</v>
      </c>
    </row>
    <row r="20" spans="17:19" x14ac:dyDescent="0.2">
      <c r="Q20" s="19">
        <v>13</v>
      </c>
    </row>
    <row r="21" spans="17:19" x14ac:dyDescent="0.2">
      <c r="Q21" s="19">
        <v>14</v>
      </c>
    </row>
    <row r="22" spans="17:19" x14ac:dyDescent="0.2">
      <c r="Q22" s="19">
        <v>15</v>
      </c>
    </row>
    <row r="23" spans="17:19" x14ac:dyDescent="0.2">
      <c r="Q23" s="19">
        <v>16</v>
      </c>
    </row>
    <row r="24" spans="17:19" x14ac:dyDescent="0.2">
      <c r="Q24" s="19">
        <v>17</v>
      </c>
    </row>
    <row r="25" spans="17:19" x14ac:dyDescent="0.2">
      <c r="Q25" s="19">
        <v>18</v>
      </c>
    </row>
    <row r="26" spans="17:19" x14ac:dyDescent="0.2">
      <c r="Q26" s="19">
        <v>19</v>
      </c>
    </row>
    <row r="27" spans="17:19" x14ac:dyDescent="0.2">
      <c r="Q27" s="19">
        <v>20</v>
      </c>
    </row>
    <row r="28" spans="17:19" x14ac:dyDescent="0.2">
      <c r="Q28" s="19">
        <v>21</v>
      </c>
    </row>
    <row r="29" spans="17:19" x14ac:dyDescent="0.2">
      <c r="Q29" s="19">
        <v>22</v>
      </c>
    </row>
    <row r="30" spans="17:19" x14ac:dyDescent="0.2">
      <c r="Q30" s="19">
        <v>23</v>
      </c>
    </row>
    <row r="31" spans="17:19" x14ac:dyDescent="0.2">
      <c r="Q31" s="19">
        <v>24</v>
      </c>
    </row>
    <row r="32" spans="17:19" x14ac:dyDescent="0.2">
      <c r="Q32" s="19">
        <v>25</v>
      </c>
    </row>
    <row r="33" spans="17:17" x14ac:dyDescent="0.2">
      <c r="Q33" s="19">
        <v>26</v>
      </c>
    </row>
    <row r="34" spans="17:17" x14ac:dyDescent="0.2">
      <c r="Q34" s="19">
        <v>27</v>
      </c>
    </row>
    <row r="35" spans="17:17" x14ac:dyDescent="0.2">
      <c r="Q35" s="19">
        <v>28</v>
      </c>
    </row>
    <row r="36" spans="17:17" x14ac:dyDescent="0.2">
      <c r="Q36" s="19">
        <v>29</v>
      </c>
    </row>
    <row r="37" spans="17:17" x14ac:dyDescent="0.2">
      <c r="Q37" s="19">
        <v>30</v>
      </c>
    </row>
    <row r="38" spans="17:17" x14ac:dyDescent="0.2">
      <c r="Q38" s="19">
        <v>31</v>
      </c>
    </row>
    <row r="39" spans="17:17" x14ac:dyDescent="0.2">
      <c r="Q39" s="19">
        <v>32</v>
      </c>
    </row>
    <row r="40" spans="17:17" x14ac:dyDescent="0.2">
      <c r="Q40" s="19">
        <v>33</v>
      </c>
    </row>
    <row r="41" spans="17:17" x14ac:dyDescent="0.2">
      <c r="Q41" s="19">
        <v>34</v>
      </c>
    </row>
    <row r="42" spans="17:17" x14ac:dyDescent="0.2">
      <c r="Q42" s="19">
        <v>35</v>
      </c>
    </row>
    <row r="43" spans="17:17" x14ac:dyDescent="0.2">
      <c r="Q43" s="19">
        <v>36</v>
      </c>
    </row>
    <row r="44" spans="17:17" x14ac:dyDescent="0.2">
      <c r="Q44" s="19">
        <v>37</v>
      </c>
    </row>
    <row r="45" spans="17:17" x14ac:dyDescent="0.2">
      <c r="Q45" s="19">
        <v>38</v>
      </c>
    </row>
    <row r="46" spans="17:17" x14ac:dyDescent="0.2">
      <c r="Q46" s="19">
        <v>39</v>
      </c>
    </row>
    <row r="47" spans="17:17" x14ac:dyDescent="0.2">
      <c r="Q47" s="19">
        <v>40</v>
      </c>
    </row>
    <row r="48" spans="17:17" x14ac:dyDescent="0.2">
      <c r="Q48" s="19">
        <v>41</v>
      </c>
    </row>
    <row r="49" spans="17:17" x14ac:dyDescent="0.2">
      <c r="Q49" s="19">
        <v>42</v>
      </c>
    </row>
    <row r="50" spans="17:17" x14ac:dyDescent="0.2">
      <c r="Q50" s="19">
        <v>43</v>
      </c>
    </row>
    <row r="51" spans="17:17" x14ac:dyDescent="0.2">
      <c r="Q51" s="19">
        <v>44</v>
      </c>
    </row>
    <row r="52" spans="17:17" x14ac:dyDescent="0.2">
      <c r="Q52" s="19">
        <v>45</v>
      </c>
    </row>
    <row r="53" spans="17:17" x14ac:dyDescent="0.2">
      <c r="Q53" s="19">
        <v>46</v>
      </c>
    </row>
    <row r="54" spans="17:17" x14ac:dyDescent="0.2">
      <c r="Q54" s="19">
        <v>47</v>
      </c>
    </row>
    <row r="55" spans="17:17" x14ac:dyDescent="0.2">
      <c r="Q55" s="19">
        <v>48</v>
      </c>
    </row>
    <row r="56" spans="17:17" x14ac:dyDescent="0.2">
      <c r="Q56" s="19">
        <v>49</v>
      </c>
    </row>
    <row r="57" spans="17:17" x14ac:dyDescent="0.2">
      <c r="Q57" s="19">
        <v>50</v>
      </c>
    </row>
    <row r="58" spans="17:17" x14ac:dyDescent="0.2">
      <c r="Q58" s="19">
        <v>51</v>
      </c>
    </row>
    <row r="59" spans="17:17" x14ac:dyDescent="0.2">
      <c r="Q59" s="19">
        <v>52</v>
      </c>
    </row>
    <row r="60" spans="17:17" x14ac:dyDescent="0.2">
      <c r="Q60" s="19">
        <v>53</v>
      </c>
    </row>
    <row r="61" spans="17:17" x14ac:dyDescent="0.2">
      <c r="Q61" s="19">
        <v>54</v>
      </c>
    </row>
    <row r="62" spans="17:17" x14ac:dyDescent="0.2">
      <c r="Q62" s="19">
        <v>55</v>
      </c>
    </row>
    <row r="63" spans="17:17" x14ac:dyDescent="0.2">
      <c r="Q63" s="19">
        <v>56</v>
      </c>
    </row>
    <row r="64" spans="17:17" x14ac:dyDescent="0.2">
      <c r="Q64" s="19">
        <v>57</v>
      </c>
    </row>
    <row r="65" spans="17:17" x14ac:dyDescent="0.2">
      <c r="Q65" s="19">
        <v>58</v>
      </c>
    </row>
    <row r="66" spans="17:17" x14ac:dyDescent="0.2">
      <c r="Q66" s="19">
        <v>59</v>
      </c>
    </row>
    <row r="67" spans="17:17" x14ac:dyDescent="0.2">
      <c r="Q67" s="19">
        <v>60</v>
      </c>
    </row>
    <row r="68" spans="17:17" x14ac:dyDescent="0.2">
      <c r="Q68" s="19">
        <v>61</v>
      </c>
    </row>
    <row r="69" spans="17:17" x14ac:dyDescent="0.2">
      <c r="Q69" s="19">
        <v>62</v>
      </c>
    </row>
    <row r="70" spans="17:17" x14ac:dyDescent="0.2">
      <c r="Q70" s="19">
        <v>63</v>
      </c>
    </row>
    <row r="71" spans="17:17" x14ac:dyDescent="0.2">
      <c r="Q71" s="19">
        <v>64</v>
      </c>
    </row>
    <row r="72" spans="17:17" x14ac:dyDescent="0.2">
      <c r="Q72" s="19">
        <v>65</v>
      </c>
    </row>
    <row r="73" spans="17:17" x14ac:dyDescent="0.2">
      <c r="Q73" s="19">
        <v>66</v>
      </c>
    </row>
    <row r="74" spans="17:17" x14ac:dyDescent="0.2">
      <c r="Q74" s="19">
        <v>67</v>
      </c>
    </row>
    <row r="75" spans="17:17" x14ac:dyDescent="0.2">
      <c r="Q75" s="19">
        <v>68</v>
      </c>
    </row>
    <row r="76" spans="17:17" x14ac:dyDescent="0.2">
      <c r="Q76" s="19">
        <v>69</v>
      </c>
    </row>
    <row r="77" spans="17:17" x14ac:dyDescent="0.2">
      <c r="Q77" s="19">
        <v>70</v>
      </c>
    </row>
    <row r="78" spans="17:17" x14ac:dyDescent="0.2">
      <c r="Q78" s="19">
        <v>71</v>
      </c>
    </row>
    <row r="79" spans="17:17" x14ac:dyDescent="0.2">
      <c r="Q79" s="19">
        <v>72</v>
      </c>
    </row>
    <row r="80" spans="17:17" x14ac:dyDescent="0.2">
      <c r="Q80" s="19">
        <v>73</v>
      </c>
    </row>
    <row r="81" spans="17:17" x14ac:dyDescent="0.2">
      <c r="Q81" s="19">
        <v>74</v>
      </c>
    </row>
    <row r="82" spans="17:17" x14ac:dyDescent="0.2">
      <c r="Q82" s="19">
        <v>75</v>
      </c>
    </row>
    <row r="83" spans="17:17" x14ac:dyDescent="0.2">
      <c r="Q83" s="19">
        <v>76</v>
      </c>
    </row>
    <row r="84" spans="17:17" x14ac:dyDescent="0.2">
      <c r="Q84" s="19">
        <v>77</v>
      </c>
    </row>
    <row r="85" spans="17:17" x14ac:dyDescent="0.2">
      <c r="Q85" s="19">
        <v>78</v>
      </c>
    </row>
    <row r="86" spans="17:17" x14ac:dyDescent="0.2">
      <c r="Q86" s="19">
        <v>79</v>
      </c>
    </row>
    <row r="87" spans="17:17" x14ac:dyDescent="0.2">
      <c r="Q87" s="19">
        <v>80</v>
      </c>
    </row>
    <row r="88" spans="17:17" x14ac:dyDescent="0.2">
      <c r="Q88" s="19">
        <v>81</v>
      </c>
    </row>
    <row r="89" spans="17:17" x14ac:dyDescent="0.2">
      <c r="Q89" s="19">
        <v>82</v>
      </c>
    </row>
    <row r="90" spans="17:17" x14ac:dyDescent="0.2">
      <c r="Q90" s="19">
        <v>83</v>
      </c>
    </row>
    <row r="91" spans="17:17" x14ac:dyDescent="0.2">
      <c r="Q91" s="19">
        <v>84</v>
      </c>
    </row>
    <row r="92" spans="17:17" x14ac:dyDescent="0.2">
      <c r="Q92" s="19">
        <v>85</v>
      </c>
    </row>
    <row r="93" spans="17:17" x14ac:dyDescent="0.2">
      <c r="Q93" s="19">
        <v>86</v>
      </c>
    </row>
    <row r="94" spans="17:17" x14ac:dyDescent="0.2">
      <c r="Q94" s="19">
        <v>87</v>
      </c>
    </row>
    <row r="95" spans="17:17" x14ac:dyDescent="0.2">
      <c r="Q95" s="19">
        <v>88</v>
      </c>
    </row>
    <row r="96" spans="17:17" x14ac:dyDescent="0.2">
      <c r="Q96" s="19">
        <v>89</v>
      </c>
    </row>
    <row r="97" spans="17:17" x14ac:dyDescent="0.2">
      <c r="Q97" s="19">
        <v>90</v>
      </c>
    </row>
    <row r="98" spans="17:17" x14ac:dyDescent="0.2">
      <c r="Q98" s="19">
        <v>91</v>
      </c>
    </row>
    <row r="99" spans="17:17" x14ac:dyDescent="0.2">
      <c r="Q99" s="19">
        <v>92</v>
      </c>
    </row>
    <row r="100" spans="17:17" x14ac:dyDescent="0.2">
      <c r="Q100" s="19">
        <v>93</v>
      </c>
    </row>
    <row r="101" spans="17:17" x14ac:dyDescent="0.2">
      <c r="Q101" s="19">
        <v>94</v>
      </c>
    </row>
    <row r="102" spans="17:17" x14ac:dyDescent="0.2">
      <c r="Q102" s="19">
        <v>95</v>
      </c>
    </row>
    <row r="103" spans="17:17" x14ac:dyDescent="0.2">
      <c r="Q103" s="19">
        <v>96</v>
      </c>
    </row>
    <row r="104" spans="17:17" x14ac:dyDescent="0.2">
      <c r="Q104" s="19">
        <v>97</v>
      </c>
    </row>
    <row r="105" spans="17:17" x14ac:dyDescent="0.2">
      <c r="Q105" s="19">
        <v>98</v>
      </c>
    </row>
    <row r="106" spans="17:17" x14ac:dyDescent="0.2">
      <c r="Q106" s="19">
        <v>99</v>
      </c>
    </row>
    <row r="107" spans="17:17" x14ac:dyDescent="0.2">
      <c r="Q107" s="19">
        <v>100</v>
      </c>
    </row>
  </sheetData>
  <sheetProtection algorithmName="SHA-512" hashValue="94FyRvdcDU+fx4rG9unq/Jw9Ks8Og5wzG5RUWbrzgmNKNQMyF559Fuc7ovkDdDUtvvM9isEvKz6Vt8EcSuT/vQ==" saltValue="rkocdeZzSQVxRs3eEoQBmg==" spinCount="100000" sheet="1" objects="1" scenarios="1" selectLockedCells="1" selectUnlockedCells="1"/>
  <mergeCells count="1">
    <mergeCell ref="A1:W4"/>
  </mergeCells>
  <pageMargins left="0.7" right="0.7" top="0.75" bottom="0.75" header="0.3" footer="0.3"/>
  <pageSetup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F6B8033E28C245814920A7AAED31D5" ma:contentTypeVersion="4" ma:contentTypeDescription="Create a new document." ma:contentTypeScope="" ma:versionID="7f8e9ffc12e28a9b95bf1d64b80066a1">
  <xsd:schema xmlns:xsd="http://www.w3.org/2001/XMLSchema" xmlns:xs="http://www.w3.org/2001/XMLSchema" xmlns:p="http://schemas.microsoft.com/office/2006/metadata/properties" xmlns:ns2="71c5aaf6-e6ce-465b-b873-5148d2a4c105" xmlns:ns3="4dbaaf47-a431-43e6-8929-e2b5907a4df9" targetNamespace="http://schemas.microsoft.com/office/2006/metadata/properties" ma:root="true" ma:fieldsID="c3f610689f85fea0556b4eb234ed73fb" ns2:_="" ns3:_="">
    <xsd:import namespace="71c5aaf6-e6ce-465b-b873-5148d2a4c105"/>
    <xsd:import namespace="4dbaaf47-a431-43e6-8929-e2b5907a4df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1" nillable="true" ma:displayName="HideFromDelve" ma:default="0" ma:internalName="HideFromDelv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baaf47-a431-43e6-8929-e2b5907a4d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ideFromDelve xmlns="71c5aaf6-e6ce-465b-b873-5148d2a4c105">false</HideFromDelve>
  </documentManagement>
</p:properties>
</file>

<file path=customXml/item4.xml><?xml version="1.0" encoding="utf-8"?>
<?mso-contentType ?>
<SharedContentType xmlns="Microsoft.SharePoint.Taxonomy.ContentTypeSync" SourceId="34c87397-5fc1-491e-85e7-d6110dbe9cbd" ContentTypeId="0x0101" PreviousValue="false"/>
</file>

<file path=customXml/item5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61889255-AFB0-49AB-B13F-0C8D56089048}"/>
</file>

<file path=customXml/itemProps2.xml><?xml version="1.0" encoding="utf-8"?>
<ds:datastoreItem xmlns:ds="http://schemas.openxmlformats.org/officeDocument/2006/customXml" ds:itemID="{A2E84AAD-5EA7-47AE-97E6-17557050006D}"/>
</file>

<file path=customXml/itemProps3.xml><?xml version="1.0" encoding="utf-8"?>
<ds:datastoreItem xmlns:ds="http://schemas.openxmlformats.org/officeDocument/2006/customXml" ds:itemID="{D962B3D5-14AE-4DA2-995E-2FB193B03B0B}"/>
</file>

<file path=customXml/itemProps4.xml><?xml version="1.0" encoding="utf-8"?>
<ds:datastoreItem xmlns:ds="http://schemas.openxmlformats.org/officeDocument/2006/customXml" ds:itemID="{3BC373F6-4155-4479-9C2B-A3BFF5EC489D}"/>
</file>

<file path=customXml/itemProps5.xml><?xml version="1.0" encoding="utf-8"?>
<ds:datastoreItem xmlns:ds="http://schemas.openxmlformats.org/officeDocument/2006/customXml" ds:itemID="{35E201D3-DE3F-4D55-9404-BEDE4CBA32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05 - BRIEF</vt:lpstr>
      <vt:lpstr>04 - SERVICES QUOTE</vt:lpstr>
      <vt:lpstr>03 - SERVICES BASE</vt:lpstr>
      <vt:lpstr>02 - EVALUATION</vt:lpstr>
      <vt:lpstr>01 - INPUT</vt:lpstr>
      <vt:lpstr>00 - FORM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Hermann Ballesteros Villamizar</dc:creator>
  <cp:lastModifiedBy>Usuario de Microsoft Office</cp:lastModifiedBy>
  <dcterms:created xsi:type="dcterms:W3CDTF">2019-03-19T22:38:23Z</dcterms:created>
  <dcterms:modified xsi:type="dcterms:W3CDTF">2019-11-27T17:55:56Z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1503146915</vt:i4>
  </property>
  <property fmtid="{D5CDD505-2E9C-101B-9397-08002B2CF9AE}" pid="3" name="_NewReviewCycle">
    <vt:lpwstr/>
  </property>
  <property fmtid="{D5CDD505-2E9C-101B-9397-08002B2CF9AE}" pid="4" name="_EmailSubject">
    <vt:lpwstr>Redes Regionales YOFC - Revisión costos Servicios Profesionales</vt:lpwstr>
  </property>
  <property fmtid="{D5CDD505-2E9C-101B-9397-08002B2CF9AE}" pid="5" name="_AuthorEmail">
    <vt:lpwstr>renzo.contreras@nokia.com</vt:lpwstr>
  </property>
  <property fmtid="{D5CDD505-2E9C-101B-9397-08002B2CF9AE}" pid="6" name="_AuthorEmailDisplayName">
    <vt:lpwstr>Contreras, Renzo (Nokia - PE/Lima)</vt:lpwstr>
  </property>
  <property fmtid="{D5CDD505-2E9C-101B-9397-08002B2CF9AE}" pid="7" name="ContentTypeId">
    <vt:lpwstr>0x010100D5F6B8033E28C245814920A7AAED31D5</vt:lpwstr>
  </property>
</Properties>
</file>